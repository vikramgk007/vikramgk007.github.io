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51196F13-6AD0-C1B8-E2B4-A1F9AE17003E}"/>
  <workbookPr codeName="ThisWorkbook" defaultThemeVersion="124226"/>
  <mc:AlternateContent xmlns:mc="http://schemas.openxmlformats.org/markup-compatibility/2006">
    <mc:Choice Requires="x15">
      <x15ac:absPath xmlns:x15ac="http://schemas.microsoft.com/office/spreadsheetml/2010/11/ac" url="S:\Clients\Active Clients\Allegiance Mobile Health\(Benefits)\Billing and Reconciliation\10. Oct 2024\"/>
    </mc:Choice>
  </mc:AlternateContent>
  <xr:revisionPtr revIDLastSave="0" documentId="13_ncr:1_{3DCE7662-A52C-431C-9601-3BD1E72B5AF6}" xr6:coauthVersionLast="47" xr6:coauthVersionMax="47" xr10:uidLastSave="{00000000-0000-0000-0000-000000000000}"/>
  <bookViews>
    <workbookView xWindow="30612" yWindow="-120" windowWidth="30936" windowHeight="16776" xr2:uid="{00000000-000D-0000-FFFF-FFFF00000000}"/>
  </bookViews>
  <sheets>
    <sheet name="Acct 1" sheetId="3" r:id="rId1"/>
    <sheet name="Acct 2 Vision Only" sheetId="6" r:id="rId2"/>
    <sheet name="Rates" sheetId="7" r:id="rId3"/>
    <sheet name="How to calculate premium" sheetId="8" r:id="rId4"/>
  </sheets>
  <definedNames>
    <definedName name="_xlnm.Print_Area" localSheetId="0">'Acct 1'!$A$1:$N$84</definedName>
    <definedName name="_xlnm.Print_Area" localSheetId="1">'Acct 2 Vision Only'!$A$1:$N$36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2" i="3" l="1"/>
  <c r="D32" i="3"/>
  <c r="F43" i="3"/>
  <c r="F30" i="3"/>
  <c r="D30" i="3"/>
  <c r="F63" i="3"/>
  <c r="F64" i="3"/>
  <c r="F65" i="3"/>
  <c r="F66" i="3"/>
  <c r="F67" i="3"/>
  <c r="F68" i="3"/>
  <c r="F62" i="3"/>
  <c r="D68" i="3"/>
  <c r="D63" i="3"/>
  <c r="D64" i="3"/>
  <c r="D65" i="3"/>
  <c r="D66" i="3"/>
  <c r="D67" i="3"/>
  <c r="D62" i="3"/>
  <c r="F56" i="3"/>
  <c r="F57" i="3"/>
  <c r="F58" i="3"/>
  <c r="F59" i="3"/>
  <c r="F60" i="3"/>
  <c r="F55" i="3"/>
  <c r="D56" i="3"/>
  <c r="D57" i="3"/>
  <c r="D59" i="3"/>
  <c r="D60" i="3"/>
  <c r="D55" i="3"/>
  <c r="F33" i="3"/>
  <c r="F34" i="3"/>
  <c r="F35" i="3"/>
  <c r="F36" i="3"/>
  <c r="F37" i="3"/>
  <c r="F38" i="3"/>
  <c r="F39" i="3"/>
  <c r="F40" i="3"/>
  <c r="F41" i="3"/>
  <c r="F42" i="3"/>
  <c r="D33" i="3"/>
  <c r="D34" i="3"/>
  <c r="D35" i="3"/>
  <c r="D36" i="3"/>
  <c r="D37" i="3"/>
  <c r="D38" i="3"/>
  <c r="D39" i="3"/>
  <c r="D40" i="3"/>
  <c r="D41" i="3"/>
  <c r="D42" i="3"/>
  <c r="D43" i="3"/>
  <c r="F21" i="3" l="1"/>
  <c r="F22" i="3"/>
  <c r="F23" i="3"/>
  <c r="F24" i="3"/>
  <c r="F25" i="3"/>
  <c r="F26" i="3"/>
  <c r="F27" i="3"/>
  <c r="F28" i="3"/>
  <c r="F29" i="3"/>
  <c r="D21" i="3"/>
  <c r="D22" i="3"/>
  <c r="D23" i="3"/>
  <c r="D24" i="3"/>
  <c r="D25" i="3"/>
  <c r="D26" i="3"/>
  <c r="D27" i="3"/>
  <c r="D28" i="3"/>
  <c r="D29" i="3"/>
  <c r="F20" i="3"/>
  <c r="D20" i="3"/>
  <c r="F44" i="3"/>
  <c r="D44" i="3"/>
  <c r="F18" i="3"/>
  <c r="F17" i="3"/>
  <c r="D18" i="3"/>
  <c r="D17" i="3"/>
  <c r="F47" i="3"/>
  <c r="F48" i="3"/>
  <c r="F49" i="3"/>
  <c r="F50" i="3"/>
  <c r="F51" i="3"/>
  <c r="F52" i="3"/>
  <c r="F53" i="3"/>
  <c r="F46" i="3"/>
  <c r="D47" i="3"/>
  <c r="D48" i="3"/>
  <c r="D49" i="3"/>
  <c r="D50" i="3"/>
  <c r="D51" i="3"/>
  <c r="D52" i="3"/>
  <c r="D53" i="3"/>
  <c r="D46" i="3"/>
  <c r="D20" i="6" l="1"/>
  <c r="D19" i="6"/>
  <c r="D18" i="6"/>
  <c r="D17" i="6"/>
  <c r="M69" i="3" l="1"/>
  <c r="L67" i="3"/>
  <c r="N67" i="3" s="1"/>
  <c r="L66" i="3"/>
  <c r="N66" i="3" s="1"/>
  <c r="L65" i="3"/>
  <c r="N65" i="3" s="1"/>
  <c r="L64" i="3"/>
  <c r="N64" i="3" s="1"/>
  <c r="L63" i="3"/>
  <c r="N63" i="3" s="1"/>
  <c r="L62" i="3"/>
  <c r="N62" i="3" s="1"/>
  <c r="L60" i="3"/>
  <c r="N60" i="3" s="1"/>
  <c r="L59" i="3"/>
  <c r="N59" i="3" s="1"/>
  <c r="L58" i="3"/>
  <c r="N58" i="3" s="1"/>
  <c r="L57" i="3"/>
  <c r="N57" i="3" s="1"/>
  <c r="L56" i="3"/>
  <c r="N56" i="3" s="1"/>
  <c r="L55" i="3"/>
  <c r="N55" i="3" s="1"/>
  <c r="L53" i="3"/>
  <c r="N53" i="3" s="1"/>
  <c r="L52" i="3"/>
  <c r="N52" i="3" s="1"/>
  <c r="L51" i="3"/>
  <c r="N51" i="3" s="1"/>
  <c r="L50" i="3"/>
  <c r="N50" i="3" s="1"/>
  <c r="L49" i="3"/>
  <c r="N49" i="3" s="1"/>
  <c r="L48" i="3"/>
  <c r="N48" i="3" s="1"/>
  <c r="L47" i="3"/>
  <c r="N47" i="3" s="1"/>
  <c r="L46" i="3"/>
  <c r="N46" i="3" s="1"/>
  <c r="L41" i="3"/>
  <c r="N41" i="3" s="1"/>
  <c r="L40" i="3"/>
  <c r="N40" i="3" s="1"/>
  <c r="L39" i="3"/>
  <c r="N39" i="3" s="1"/>
  <c r="L38" i="3"/>
  <c r="N38" i="3" s="1"/>
  <c r="L37" i="3"/>
  <c r="N37" i="3" s="1"/>
  <c r="L36" i="3"/>
  <c r="N36" i="3" s="1"/>
  <c r="L35" i="3"/>
  <c r="N35" i="3" s="1"/>
  <c r="L34" i="3"/>
  <c r="N34" i="3" s="1"/>
  <c r="L33" i="3"/>
  <c r="N33" i="3" s="1"/>
  <c r="L32" i="3"/>
  <c r="N32" i="3" s="1"/>
  <c r="L29" i="3"/>
  <c r="N29" i="3" s="1"/>
  <c r="L28" i="3"/>
  <c r="N28" i="3" s="1"/>
  <c r="L27" i="3"/>
  <c r="N27" i="3" s="1"/>
  <c r="L26" i="3"/>
  <c r="N26" i="3" s="1"/>
  <c r="L25" i="3"/>
  <c r="N25" i="3" s="1"/>
  <c r="L24" i="3"/>
  <c r="N24" i="3" s="1"/>
  <c r="L23" i="3"/>
  <c r="N23" i="3" s="1"/>
  <c r="L22" i="3"/>
  <c r="N22" i="3" s="1"/>
  <c r="L21" i="3"/>
  <c r="N21" i="3" s="1"/>
  <c r="L20" i="3"/>
  <c r="N20" i="3" s="1"/>
  <c r="L17" i="6"/>
  <c r="N17" i="6" s="1"/>
  <c r="L18" i="6"/>
  <c r="N18" i="6" s="1"/>
  <c r="L19" i="6"/>
  <c r="N19" i="6" s="1"/>
  <c r="L20" i="6"/>
  <c r="N20" i="6" s="1"/>
  <c r="M21" i="6"/>
  <c r="L21" i="6" l="1"/>
  <c r="N21" i="6" s="1"/>
  <c r="N32" i="6" s="1"/>
  <c r="L44" i="3" l="1"/>
  <c r="N44" i="3" s="1"/>
  <c r="L43" i="3" l="1"/>
  <c r="N43" i="3" s="1"/>
  <c r="L18" i="3"/>
  <c r="N18" i="3" s="1"/>
  <c r="L30" i="3"/>
  <c r="L42" i="3"/>
  <c r="N42" i="3" s="1"/>
  <c r="L68" i="3"/>
  <c r="N68" i="3" s="1"/>
  <c r="L17" i="3"/>
  <c r="N30" i="3" l="1"/>
  <c r="L69" i="3"/>
  <c r="N69" i="3" s="1"/>
  <c r="N80" i="3" s="1"/>
  <c r="N17" i="3"/>
</calcChain>
</file>

<file path=xl/sharedStrings.xml><?xml version="1.0" encoding="utf-8"?>
<sst xmlns="http://schemas.openxmlformats.org/spreadsheetml/2006/main" count="237" uniqueCount="132">
  <si>
    <t>Coverage</t>
  </si>
  <si>
    <t>Previous Statement</t>
  </si>
  <si>
    <t>This Month's Total:</t>
  </si>
  <si>
    <t>36788 Eagle Way</t>
  </si>
  <si>
    <t>Currently in Force</t>
  </si>
  <si>
    <t>Chicago, IL 60678-1367</t>
  </si>
  <si>
    <t>Basis</t>
  </si>
  <si>
    <t>Rate</t>
  </si>
  <si>
    <t>Monthly
Premium</t>
  </si>
  <si>
    <t>Premium 
Calculation</t>
  </si>
  <si>
    <t>Remittance Address</t>
  </si>
  <si>
    <t xml:space="preserve">MEMBERSHIP &amp; BILLING:   </t>
  </si>
  <si>
    <t xml:space="preserve">FORM DOWNLOAD:   </t>
  </si>
  <si>
    <t>Email Address:</t>
  </si>
  <si>
    <t>Group Name:</t>
  </si>
  <si>
    <t>PLEASE RETAIN A COPY FOR YOUR RECORDS</t>
  </si>
  <si>
    <t>Net Changes</t>
  </si>
  <si>
    <t>Account Number:</t>
  </si>
  <si>
    <t>Group Number:</t>
  </si>
  <si>
    <t>Phone Number:</t>
  </si>
  <si>
    <t>Fax Number:</t>
  </si>
  <si>
    <t>Bill From Date:</t>
  </si>
  <si>
    <t xml:space="preserve">Bill To Date: </t>
  </si>
  <si>
    <t>SELF-ADMINISTERED PREMIUM REPORT</t>
  </si>
  <si>
    <t>Premium
 Amount</t>
  </si>
  <si>
    <t>Prior Month(s) Adjustment</t>
  </si>
  <si>
    <t>Total</t>
  </si>
  <si>
    <t>Billing Manager:</t>
  </si>
  <si>
    <t>COMMENTS:</t>
  </si>
  <si>
    <t>Lives</t>
  </si>
  <si>
    <t>Volume</t>
  </si>
  <si>
    <t xml:space="preserve">Lives </t>
  </si>
  <si>
    <t>Basic Life</t>
  </si>
  <si>
    <t>Basic AD&amp;D</t>
  </si>
  <si>
    <t>Voluntary STD</t>
  </si>
  <si>
    <t>Voluntary LTD</t>
  </si>
  <si>
    <t>Critical Illness - Employee</t>
  </si>
  <si>
    <t>Critical Illness - Spouse</t>
  </si>
  <si>
    <t xml:space="preserve">*Note: Please reference product workbook to help complete volumes, if desired. </t>
  </si>
  <si>
    <t>Guide to Self-Administered Billing</t>
  </si>
  <si>
    <t>Previous Month</t>
  </si>
  <si>
    <t>Premium Amount</t>
  </si>
  <si>
    <t>Monthly Totals</t>
  </si>
  <si>
    <r>
      <t xml:space="preserve">Please complete this report and forward the original, together with your premium check payable to </t>
    </r>
    <r>
      <rPr>
        <b/>
        <i/>
        <u/>
        <sz val="9"/>
        <rFont val="Calibri"/>
        <family val="2"/>
      </rPr>
      <t>Blue Cross and Blue Shield of Texas</t>
    </r>
  </si>
  <si>
    <t>877-442-4207</t>
  </si>
  <si>
    <t>WWW.BCBSTX.COM/ANCILLARY</t>
  </si>
  <si>
    <t>Blue Cross and Blue Shield of Texas</t>
  </si>
  <si>
    <t>Insurance products issued by Dearborn Life Insurance Company, 701 E. 22nd St. Suite 300, Lombard, IL 60148. Blue Cross and Blue Shield of Texas is the trade name of Dearborn Life Insurance Company, an independent licensee of the Blue Cross and Blue Shield Association. BLUE CROSS®, BLUE SHIELD® and the Cross and Shield Symbols are registered service marks of the Blue Cross and Blue Shield Association, an association of independent Blue Cross and Blue Shield Plans.</t>
  </si>
  <si>
    <t>Supplemental Life - Spouse</t>
  </si>
  <si>
    <t>Bluebird Medical Enterprises LLC DBA Allegiance</t>
  </si>
  <si>
    <t xml:space="preserve">F024852 </t>
  </si>
  <si>
    <t>unit</t>
  </si>
  <si>
    <t xml:space="preserve"> Dearborn Life Insurance Company</t>
  </si>
  <si>
    <r>
      <t xml:space="preserve">Please complete this report and forward the original, together with your premium check payable to </t>
    </r>
    <r>
      <rPr>
        <b/>
        <i/>
        <u/>
        <sz val="9"/>
        <rFont val="Calibri"/>
        <family val="2"/>
      </rPr>
      <t>Dearborn Life Insurance Company</t>
    </r>
  </si>
  <si>
    <t>F024852</t>
  </si>
  <si>
    <t>COMMENTS: LTD 60% Max 5000. Max Covered Mo. Salary $8333</t>
  </si>
  <si>
    <t>Vision - EE Only</t>
  </si>
  <si>
    <t>Vision - EE + SP</t>
  </si>
  <si>
    <t xml:space="preserve">Vision - EE + Child </t>
  </si>
  <si>
    <t>Vision - EE + Family</t>
  </si>
  <si>
    <t>We have reviewed the current demographics of your group insurance programs.  We are pleased to inform you that there will be no change in the existing rates for the upcoming renewal period.  Rates will be guaranteed until January 1, 2027.</t>
  </si>
  <si>
    <t>Products</t>
  </si>
  <si>
    <t>Renewal Rates</t>
  </si>
  <si>
    <t>$0.07 per  $1,000</t>
  </si>
  <si>
    <t>$0.026 per $1,000</t>
  </si>
  <si>
    <t>Supplemental Life (Employee &amp; Spouse)</t>
  </si>
  <si>
    <t>Under 30</t>
  </si>
  <si>
    <t>$0.082 per $1,000</t>
  </si>
  <si>
    <t>30 to 34</t>
  </si>
  <si>
    <t>$0.090 per $1,000</t>
  </si>
  <si>
    <t>35 to 39</t>
  </si>
  <si>
    <t>$0.126 per $1,000</t>
  </si>
  <si>
    <t>40 to 44</t>
  </si>
  <si>
    <t>$0.210 per $1,000</t>
  </si>
  <si>
    <t>45 to 49</t>
  </si>
  <si>
    <t>$0.326 per $1,000</t>
  </si>
  <si>
    <t>50 to 54</t>
  </si>
  <si>
    <t>$0.492 per $1,000</t>
  </si>
  <si>
    <t>55 to 59</t>
  </si>
  <si>
    <t>$0.790 per $1,000</t>
  </si>
  <si>
    <t>60 to 64</t>
  </si>
  <si>
    <t>$1.316 per $1,000</t>
  </si>
  <si>
    <t>65 to 69</t>
  </si>
  <si>
    <t>$2.115 per $1,000</t>
  </si>
  <si>
    <t>70 and Over</t>
  </si>
  <si>
    <t>$3.456 per $1,000</t>
  </si>
  <si>
    <t>Supp Life(Child(ren))</t>
  </si>
  <si>
    <t>$0.20 per $1,000</t>
  </si>
  <si>
    <t>Supplemental AD&amp;D</t>
  </si>
  <si>
    <t xml:space="preserve">$0.036 per $1,000 </t>
  </si>
  <si>
    <t>$0.51 per $10</t>
  </si>
  <si>
    <t>Under 25</t>
  </si>
  <si>
    <t>$0.261 per $100 MCP</t>
  </si>
  <si>
    <t>25 to 29</t>
  </si>
  <si>
    <t>$0.360 per $100 MCP</t>
  </si>
  <si>
    <t>$0.423 per $100 MCP</t>
  </si>
  <si>
    <t>$0.558 per $100 MCP</t>
  </si>
  <si>
    <t>$0.936 per $100 MCP</t>
  </si>
  <si>
    <t>$1.701 per $100 MCP</t>
  </si>
  <si>
    <t>$2.439 per $100 MCP</t>
  </si>
  <si>
    <t>$2.727 per $100 MCP</t>
  </si>
  <si>
    <t>60 and Over</t>
  </si>
  <si>
    <t>$1.818 per $100 MCP</t>
  </si>
  <si>
    <t>Voluntary Critical Illness (Employee)</t>
  </si>
  <si>
    <t>$0.390 per $1,000</t>
  </si>
  <si>
    <t>30 to 39</t>
  </si>
  <si>
    <t>$0.552 per $1,000</t>
  </si>
  <si>
    <t>40 to 49</t>
  </si>
  <si>
    <t>$1.135 per $1,000</t>
  </si>
  <si>
    <t>50 to 59</t>
  </si>
  <si>
    <t>$2.308 per $1,000</t>
  </si>
  <si>
    <t>$3.631 per $1,000</t>
  </si>
  <si>
    <t>65 and Over</t>
  </si>
  <si>
    <t>$6.029 per $1,000</t>
  </si>
  <si>
    <t>Voluntary Critical Illness (Spouse)</t>
  </si>
  <si>
    <t>$0.174 per $1,000</t>
  </si>
  <si>
    <t>$0.325 per $1,000</t>
  </si>
  <si>
    <t>$0.878 per $1,000</t>
  </si>
  <si>
    <t>$2.033 per $1,000</t>
  </si>
  <si>
    <t>$3.352 per $1,000</t>
  </si>
  <si>
    <t>$5.561 per $1,000</t>
  </si>
  <si>
    <t>Voluntary Critical Illness (Child(ren))</t>
  </si>
  <si>
    <t>$0.216 per $1,000</t>
  </si>
  <si>
    <t>Vision</t>
  </si>
  <si>
    <t>29 and under</t>
  </si>
  <si>
    <t xml:space="preserve">Supp Life - Employee </t>
  </si>
  <si>
    <t xml:space="preserve">Supp AD&amp;D - Employee </t>
  </si>
  <si>
    <t>Supp AD&amp;D - Spouse</t>
  </si>
  <si>
    <t>Supplemental Life - CH</t>
  </si>
  <si>
    <t>Voluntary LTD (MCP)</t>
  </si>
  <si>
    <t>Critical Illness - Child</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</si>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</sst>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7" formatCode="&quot;$&quot;#,##0.00_);\(&quot;$&quot;#,##0.00\)"/>
    <numFmt numFmtId="8" formatCode="&quot;$&quot;#,##0.00_);[Red]\(&quot;$&quot;#,##0.00\)"/>
    <numFmt numFmtId="43" formatCode="_(* #,##0.00_);_(* \(#,##0.00\);_(* &quot;-&quot;??_);_(@_)"/>
    <numFmt numFmtId="164" formatCode="mm/dd/yy;@"/>
    <numFmt numFmtId="165" formatCode="&quot;$&quot;#,##0.00"/>
    <numFmt numFmtId="166" formatCode="0000"/>
    <numFmt numFmtId="167" formatCode="[&lt;=9999999]###\-####;\(###\)\ ###\-####"/>
    <numFmt numFmtId="168" formatCode="&quot;$&quot;#,##0.00000"/>
    <numFmt numFmtId="169" formatCode="0.000"/>
  </numFmts>
  <fonts count="33" x14ac:knownFonts="1">
    <font>
      <sz val="10"/>
      <name val="Arial"/>
    </font>
    <font>
      <sz val="10"/>
      <name val="Arial"/>
      <family val="2"/>
    </font>
    <font>
      <sz val="8"/>
      <name val="Arial"/>
      <family val="2"/>
    </font>
    <font>
      <u/>
      <sz val="10"/>
      <color indexed="12"/>
      <name val="Arial"/>
      <family val="2"/>
    </font>
    <font>
      <b/>
      <sz val="10"/>
      <name val="Arial"/>
      <family val="2"/>
    </font>
    <font>
      <b/>
      <sz val="8"/>
      <name val="Arial"/>
      <family val="2"/>
    </font>
    <font>
      <sz val="8"/>
      <name val="Arial"/>
      <family val="2"/>
    </font>
    <font>
      <b/>
      <sz val="8"/>
      <color indexed="9"/>
      <name val="Arial"/>
      <family val="2"/>
    </font>
    <font>
      <sz val="10"/>
      <name val="Arial"/>
      <family val="2"/>
    </font>
    <font>
      <sz val="13"/>
      <name val="Arial"/>
      <family val="2"/>
    </font>
    <font>
      <sz val="9"/>
      <name val="Arial"/>
      <family val="2"/>
    </font>
    <font>
      <b/>
      <sz val="12"/>
      <color rgb="FF000080"/>
      <name val="Arial"/>
      <family val="2"/>
    </font>
    <font>
      <sz val="10"/>
      <name val="Calibri"/>
      <family val="2"/>
    </font>
    <font>
      <sz val="8"/>
      <name val="Calibri"/>
      <family val="2"/>
    </font>
    <font>
      <b/>
      <sz val="12"/>
      <name val="Calibri"/>
      <family val="2"/>
    </font>
    <font>
      <b/>
      <sz val="8"/>
      <name val="Calibri"/>
      <family val="2"/>
    </font>
    <font>
      <b/>
      <i/>
      <sz val="9"/>
      <color indexed="23"/>
      <name val="Calibri"/>
      <family val="2"/>
    </font>
    <font>
      <sz val="9"/>
      <name val="Calibri"/>
      <family val="2"/>
    </font>
    <font>
      <b/>
      <i/>
      <sz val="9"/>
      <name val="Calibri"/>
      <family val="2"/>
    </font>
    <font>
      <b/>
      <sz val="9"/>
      <name val="Calibri"/>
      <family val="2"/>
    </font>
    <font>
      <i/>
      <sz val="9"/>
      <color indexed="23"/>
      <name val="Calibri"/>
      <family val="2"/>
    </font>
    <font>
      <u/>
      <sz val="9"/>
      <color indexed="12"/>
      <name val="Calibri"/>
      <family val="2"/>
    </font>
    <font>
      <b/>
      <sz val="9"/>
      <color indexed="18"/>
      <name val="Calibri"/>
      <family val="2"/>
    </font>
    <font>
      <b/>
      <i/>
      <u/>
      <sz val="9"/>
      <name val="Calibri"/>
      <family val="2"/>
    </font>
    <font>
      <b/>
      <sz val="8"/>
      <color indexed="9"/>
      <name val="Calibri"/>
      <family val="2"/>
    </font>
    <font>
      <b/>
      <sz val="8"/>
      <color rgb="FFFF0000"/>
      <name val="Calibri"/>
      <family val="2"/>
    </font>
    <font>
      <b/>
      <sz val="10"/>
      <name val="Calibri"/>
      <family val="2"/>
    </font>
    <font>
      <b/>
      <sz val="9"/>
      <color rgb="FFFF0000"/>
      <name val="Calibri"/>
      <family val="2"/>
    </font>
    <font>
      <b/>
      <sz val="11"/>
      <name val="Calibri"/>
      <family val="2"/>
    </font>
    <font>
      <b/>
      <i/>
      <sz val="8"/>
      <name val="Calibri"/>
      <family val="2"/>
    </font>
    <font>
      <sz val="10"/>
      <color rgb="FF0070C0"/>
      <name val="Calibri"/>
      <family val="2"/>
    </font>
    <font>
      <sz val="8"/>
      <name val="Calibri"/>
      <family val="2"/>
      <scheme val="minor"/>
    </font>
    <font>
      <sz val="10"/>
      <name val="Calibri"/>
      <family val="2"/>
      <scheme val="minor"/>
    </font>
  </fonts>
  <fills count="8">
    <fill>
      <patternFill patternType="none"/>
    </fill>
    <fill>
      <patternFill patternType="gray125"/>
    </fill>
    <fill>
      <patternFill patternType="solid">
        <fgColor indexed="32"/>
        <bgColor indexed="64"/>
      </patternFill>
    </fill>
    <fill>
      <patternFill patternType="solid">
        <fgColor indexed="26"/>
        <bgColor indexed="64"/>
      </patternFill>
    </fill>
    <fill>
      <patternFill patternType="solid">
        <fgColor theme="0"/>
        <bgColor indexed="64"/>
      </patternFill>
    </fill>
    <fill>
      <patternFill patternType="solid">
        <fgColor rgb="FFDDDDDD"/>
        <bgColor indexed="64"/>
      </patternFill>
    </fill>
    <fill>
      <patternFill patternType="solid">
        <fgColor theme="0" tint="-0.249977111117893"/>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hair">
        <color indexed="64"/>
      </left>
      <right/>
      <top style="hair">
        <color indexed="64"/>
      </top>
      <bottom style="hair">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s>
  <cellStyleXfs count="4">
    <xf numFmtId="0" fontId="0" fillId="0" borderId="0"/>
    <xf numFmtId="43" fontId="1" fillId="0" borderId="0" applyFont="0" applyFill="0" applyBorder="0" applyAlignment="0" applyProtection="0"/>
    <xf numFmtId="0" fontId="3" fillId="0" borderId="0" applyNumberFormat="0" applyFill="0" applyBorder="0" applyAlignment="0" applyProtection="0">
      <alignment vertical="top"/>
      <protection locked="0"/>
    </xf>
    <xf numFmtId="0" fontId="1" fillId="0" borderId="0"/>
  </cellStyleXfs>
  <cellXfs count="352">
    <xf numFmtId="0" fontId="0" fillId="0" borderId="0" xfId="0"/>
    <xf numFmtId="3" fontId="6" fillId="0" borderId="6" xfId="0" applyNumberFormat="1" applyFont="1" applyBorder="1" applyAlignment="1" applyProtection="1">
      <alignment horizontal="center"/>
      <protection locked="0"/>
    </xf>
    <xf numFmtId="3" fontId="5" fillId="0" borderId="0" xfId="0" applyNumberFormat="1" applyFont="1" applyProtection="1">
      <protection locked="0"/>
    </xf>
    <xf numFmtId="0" fontId="0" fillId="0" borderId="0" xfId="0" applyProtection="1">
      <protection locked="0"/>
    </xf>
    <xf numFmtId="3" fontId="5" fillId="0" borderId="0" xfId="0" applyNumberFormat="1" applyFont="1" applyAlignment="1" applyProtection="1">
      <alignment horizontal="center"/>
      <protection locked="0"/>
    </xf>
    <xf numFmtId="0" fontId="0" fillId="0" borderId="0" xfId="0" applyAlignment="1" applyProtection="1">
      <alignment horizontal="center"/>
      <protection locked="0"/>
    </xf>
    <xf numFmtId="0" fontId="9" fillId="0" borderId="0" xfId="0" applyFont="1" applyProtection="1">
      <protection locked="0"/>
    </xf>
    <xf numFmtId="0" fontId="4" fillId="0" borderId="0" xfId="0" applyFont="1" applyProtection="1">
      <protection locked="0"/>
    </xf>
    <xf numFmtId="0" fontId="10" fillId="0" borderId="0" xfId="0" applyFont="1" applyProtection="1">
      <protection locked="0"/>
    </xf>
    <xf numFmtId="0" fontId="8" fillId="0" borderId="0" xfId="0" applyFont="1" applyProtection="1">
      <protection locked="0"/>
    </xf>
    <xf numFmtId="0" fontId="7" fillId="0" borderId="0" xfId="0" applyFont="1"/>
    <xf numFmtId="3" fontId="5" fillId="0" borderId="0" xfId="0" applyNumberFormat="1" applyFont="1"/>
    <xf numFmtId="3" fontId="5" fillId="0" borderId="0" xfId="0" applyNumberFormat="1" applyFont="1" applyAlignment="1">
      <alignment horizontal="center"/>
    </xf>
    <xf numFmtId="0" fontId="5" fillId="0" borderId="0" xfId="0" applyFont="1"/>
    <xf numFmtId="0" fontId="5" fillId="4" borderId="0" xfId="0" applyFont="1" applyFill="1" applyProtection="1">
      <protection locked="0"/>
    </xf>
    <xf numFmtId="3" fontId="5" fillId="4" borderId="0" xfId="0" applyNumberFormat="1" applyFont="1" applyFill="1" applyAlignment="1" applyProtection="1">
      <alignment horizontal="left"/>
      <protection locked="0"/>
    </xf>
    <xf numFmtId="3" fontId="5" fillId="4" borderId="0" xfId="0" applyNumberFormat="1" applyFont="1" applyFill="1" applyAlignment="1" applyProtection="1">
      <alignment horizontal="center"/>
      <protection locked="0"/>
    </xf>
    <xf numFmtId="3" fontId="5" fillId="4" borderId="0" xfId="0" applyNumberFormat="1" applyFont="1" applyFill="1" applyProtection="1">
      <protection locked="0"/>
    </xf>
    <xf numFmtId="0" fontId="7" fillId="4" borderId="0" xfId="0" applyFont="1" applyFill="1" applyProtection="1">
      <protection locked="0"/>
    </xf>
    <xf numFmtId="0" fontId="3" fillId="4" borderId="0" xfId="2" applyFill="1" applyBorder="1" applyAlignment="1" applyProtection="1">
      <protection locked="0"/>
    </xf>
    <xf numFmtId="0" fontId="15" fillId="0" borderId="0" xfId="0" applyFont="1"/>
    <xf numFmtId="3" fontId="15" fillId="0" borderId="0" xfId="0" applyNumberFormat="1" applyFont="1"/>
    <xf numFmtId="3" fontId="15" fillId="0" borderId="0" xfId="0" applyNumberFormat="1" applyFont="1" applyAlignment="1">
      <alignment horizontal="center"/>
    </xf>
    <xf numFmtId="165" fontId="15" fillId="0" borderId="0" xfId="0" applyNumberFormat="1" applyFont="1"/>
    <xf numFmtId="0" fontId="12" fillId="0" borderId="0" xfId="0" applyFont="1"/>
    <xf numFmtId="165" fontId="16" fillId="0" borderId="9" xfId="0" applyNumberFormat="1" applyFont="1" applyBorder="1" applyProtection="1">
      <protection locked="0"/>
    </xf>
    <xf numFmtId="0" fontId="17" fillId="0" borderId="9" xfId="0" applyFont="1" applyBorder="1" applyProtection="1">
      <protection locked="0"/>
    </xf>
    <xf numFmtId="3" fontId="16" fillId="0" borderId="9" xfId="0" applyNumberFormat="1" applyFont="1" applyBorder="1" applyProtection="1">
      <protection locked="0"/>
    </xf>
    <xf numFmtId="0" fontId="18" fillId="0" borderId="9" xfId="0" applyFont="1" applyBorder="1" applyProtection="1">
      <protection locked="0"/>
    </xf>
    <xf numFmtId="3" fontId="16" fillId="0" borderId="1" xfId="0" applyNumberFormat="1" applyFont="1" applyBorder="1" applyProtection="1">
      <protection locked="0"/>
    </xf>
    <xf numFmtId="0" fontId="20" fillId="0" borderId="1" xfId="0" applyFont="1" applyBorder="1" applyProtection="1">
      <protection locked="0"/>
    </xf>
    <xf numFmtId="0" fontId="17" fillId="0" borderId="1" xfId="0" applyFont="1" applyBorder="1" applyProtection="1">
      <protection locked="0"/>
    </xf>
    <xf numFmtId="166" fontId="16" fillId="0" borderId="1" xfId="0" applyNumberFormat="1" applyFont="1" applyBorder="1" applyProtection="1">
      <protection locked="0"/>
    </xf>
    <xf numFmtId="0" fontId="24" fillId="2" borderId="27" xfId="0" applyFont="1" applyFill="1" applyBorder="1" applyAlignment="1">
      <alignment horizontal="center" wrapText="1"/>
    </xf>
    <xf numFmtId="0" fontId="24" fillId="2" borderId="28" xfId="0" applyFont="1" applyFill="1" applyBorder="1" applyAlignment="1">
      <alignment horizontal="center" wrapText="1"/>
    </xf>
    <xf numFmtId="0" fontId="24" fillId="2" borderId="29" xfId="0" applyFont="1" applyFill="1" applyBorder="1" applyAlignment="1">
      <alignment horizontal="center" wrapText="1"/>
    </xf>
    <xf numFmtId="0" fontId="15" fillId="3" borderId="8" xfId="0" applyFont="1" applyFill="1" applyBorder="1" applyAlignment="1">
      <alignment horizontal="center"/>
    </xf>
    <xf numFmtId="3" fontId="15" fillId="3" borderId="9" xfId="0" applyNumberFormat="1" applyFont="1" applyFill="1" applyBorder="1" applyAlignment="1">
      <alignment horizontal="center"/>
    </xf>
    <xf numFmtId="165" fontId="15" fillId="3" borderId="9" xfId="0" applyNumberFormat="1" applyFont="1" applyFill="1" applyBorder="1" applyAlignment="1">
      <alignment horizontal="center"/>
    </xf>
    <xf numFmtId="0" fontId="15" fillId="3" borderId="9" xfId="0" applyFont="1" applyFill="1" applyBorder="1" applyAlignment="1">
      <alignment horizontal="center"/>
    </xf>
    <xf numFmtId="0" fontId="25" fillId="3" borderId="9" xfId="0" applyFont="1" applyFill="1" applyBorder="1" applyAlignment="1">
      <alignment horizontal="center"/>
    </xf>
    <xf numFmtId="0" fontId="25" fillId="3" borderId="10" xfId="0" applyFont="1" applyFill="1" applyBorder="1" applyAlignment="1">
      <alignment horizontal="center"/>
    </xf>
    <xf numFmtId="3" fontId="13" fillId="0" borderId="1" xfId="0" applyNumberFormat="1" applyFont="1" applyBorder="1" applyAlignment="1" applyProtection="1">
      <alignment horizontal="center"/>
      <protection locked="0"/>
    </xf>
    <xf numFmtId="40" fontId="13" fillId="0" borderId="1" xfId="0" applyNumberFormat="1" applyFont="1" applyBorder="1" applyAlignment="1" applyProtection="1">
      <alignment horizontal="center"/>
      <protection locked="0"/>
    </xf>
    <xf numFmtId="38" fontId="13" fillId="0" borderId="1" xfId="0" applyNumberFormat="1" applyFont="1" applyBorder="1" applyAlignment="1" applyProtection="1">
      <alignment horizontal="center"/>
      <protection locked="0"/>
    </xf>
    <xf numFmtId="40" fontId="13" fillId="0" borderId="1" xfId="0" applyNumberFormat="1" applyFont="1" applyBorder="1" applyAlignment="1" applyProtection="1">
      <alignment horizontal="right"/>
      <protection locked="0"/>
    </xf>
    <xf numFmtId="0" fontId="26" fillId="0" borderId="13" xfId="0" applyFont="1" applyBorder="1" applyAlignment="1" applyProtection="1">
      <alignment horizontal="center" wrapText="1"/>
      <protection locked="0"/>
    </xf>
    <xf numFmtId="0" fontId="26" fillId="0" borderId="0" xfId="0" applyFont="1" applyAlignment="1" applyProtection="1">
      <alignment horizontal="center" wrapText="1"/>
      <protection locked="0"/>
    </xf>
    <xf numFmtId="3" fontId="13" fillId="0" borderId="0" xfId="0" applyNumberFormat="1" applyFont="1" applyAlignment="1" applyProtection="1">
      <alignment horizontal="center"/>
      <protection locked="0"/>
    </xf>
    <xf numFmtId="38" fontId="13" fillId="0" borderId="0" xfId="0" applyNumberFormat="1" applyFont="1" applyAlignment="1" applyProtection="1">
      <alignment horizontal="center"/>
      <protection locked="0"/>
    </xf>
    <xf numFmtId="168" fontId="13" fillId="0" borderId="0" xfId="0" applyNumberFormat="1" applyFont="1" applyAlignment="1" applyProtection="1">
      <alignment horizontal="center"/>
      <protection locked="0"/>
    </xf>
    <xf numFmtId="40" fontId="13" fillId="0" borderId="0" xfId="0" applyNumberFormat="1" applyFont="1" applyAlignment="1" applyProtection="1">
      <alignment horizontal="center"/>
      <protection locked="0"/>
    </xf>
    <xf numFmtId="8" fontId="26" fillId="0" borderId="0" xfId="0" applyNumberFormat="1" applyFont="1" applyAlignment="1" applyProtection="1">
      <alignment horizontal="right"/>
      <protection locked="0"/>
    </xf>
    <xf numFmtId="0" fontId="27" fillId="0" borderId="7" xfId="0" applyFont="1" applyBorder="1" applyAlignment="1" applyProtection="1">
      <alignment wrapText="1"/>
      <protection locked="0"/>
    </xf>
    <xf numFmtId="0" fontId="13" fillId="0" borderId="0" xfId="0" applyFont="1" applyAlignment="1" applyProtection="1">
      <alignment horizontal="center" vertical="center" wrapText="1"/>
      <protection locked="0"/>
    </xf>
    <xf numFmtId="0" fontId="13" fillId="0" borderId="0" xfId="0" applyFont="1" applyAlignment="1" applyProtection="1">
      <alignment vertical="center" wrapText="1"/>
      <protection locked="0"/>
    </xf>
    <xf numFmtId="165" fontId="13" fillId="0" borderId="7" xfId="0" applyNumberFormat="1" applyFont="1" applyBorder="1" applyProtection="1">
      <protection locked="0"/>
    </xf>
    <xf numFmtId="0" fontId="13" fillId="0" borderId="0" xfId="0" quotePrefix="1" applyFont="1" applyAlignment="1" applyProtection="1">
      <alignment horizontal="center"/>
      <protection locked="0"/>
    </xf>
    <xf numFmtId="4" fontId="15" fillId="0" borderId="0" xfId="0" applyNumberFormat="1" applyFont="1" applyAlignment="1" applyProtection="1">
      <alignment horizontal="right"/>
      <protection locked="0"/>
    </xf>
    <xf numFmtId="0" fontId="12" fillId="0" borderId="0" xfId="0" applyFont="1" applyProtection="1">
      <protection locked="0"/>
    </xf>
    <xf numFmtId="0" fontId="24" fillId="2" borderId="4" xfId="0" applyFont="1" applyFill="1" applyBorder="1" applyAlignment="1" applyProtection="1">
      <alignment horizontal="center"/>
      <protection locked="0"/>
    </xf>
    <xf numFmtId="3" fontId="24" fillId="2" borderId="3" xfId="0" applyNumberFormat="1" applyFont="1" applyFill="1" applyBorder="1" applyAlignment="1" applyProtection="1">
      <alignment horizontal="center"/>
      <protection locked="0"/>
    </xf>
    <xf numFmtId="3" fontId="24" fillId="2" borderId="2" xfId="0" applyNumberFormat="1" applyFont="1" applyFill="1" applyBorder="1" applyAlignment="1" applyProtection="1">
      <alignment horizontal="center"/>
      <protection locked="0"/>
    </xf>
    <xf numFmtId="3" fontId="24" fillId="2" borderId="4" xfId="0" applyNumberFormat="1" applyFont="1" applyFill="1" applyBorder="1" applyAlignment="1" applyProtection="1">
      <alignment horizontal="center"/>
      <protection locked="0"/>
    </xf>
    <xf numFmtId="0" fontId="15" fillId="0" borderId="0" xfId="0" applyFont="1" applyProtection="1">
      <protection locked="0"/>
    </xf>
    <xf numFmtId="0" fontId="13" fillId="0" borderId="0" xfId="0" applyFont="1" applyProtection="1">
      <protection locked="0"/>
    </xf>
    <xf numFmtId="3" fontId="15" fillId="0" borderId="0" xfId="0" applyNumberFormat="1" applyFont="1" applyProtection="1">
      <protection locked="0"/>
    </xf>
    <xf numFmtId="3" fontId="15" fillId="0" borderId="0" xfId="0" applyNumberFormat="1" applyFont="1" applyAlignment="1" applyProtection="1">
      <alignment horizontal="right"/>
      <protection locked="0"/>
    </xf>
    <xf numFmtId="8" fontId="13" fillId="0" borderId="0" xfId="1" applyNumberFormat="1" applyFont="1" applyBorder="1" applyAlignment="1" applyProtection="1">
      <alignment horizontal="right"/>
      <protection locked="0"/>
    </xf>
    <xf numFmtId="0" fontId="13" fillId="0" borderId="0" xfId="1" applyNumberFormat="1" applyFont="1" applyBorder="1" applyAlignment="1" applyProtection="1">
      <alignment horizontal="right"/>
      <protection locked="0"/>
    </xf>
    <xf numFmtId="3" fontId="13" fillId="0" borderId="0" xfId="0" applyNumberFormat="1" applyFont="1" applyAlignment="1" applyProtection="1">
      <alignment horizontal="right"/>
      <protection locked="0"/>
    </xf>
    <xf numFmtId="165" fontId="15" fillId="0" borderId="0" xfId="0" applyNumberFormat="1" applyFont="1" applyProtection="1">
      <protection locked="0"/>
    </xf>
    <xf numFmtId="0" fontId="15" fillId="0" borderId="0" xfId="0" applyFont="1" applyAlignment="1" applyProtection="1">
      <alignment horizontal="right"/>
      <protection locked="0"/>
    </xf>
    <xf numFmtId="0" fontId="29" fillId="0" borderId="0" xfId="0" applyFont="1" applyProtection="1">
      <protection locked="0"/>
    </xf>
    <xf numFmtId="0" fontId="15" fillId="0" borderId="0" xfId="0" applyFont="1" applyAlignment="1" applyProtection="1">
      <alignment shrinkToFit="1"/>
      <protection locked="0"/>
    </xf>
    <xf numFmtId="0" fontId="15" fillId="4" borderId="0" xfId="0" applyFont="1" applyFill="1" applyAlignment="1" applyProtection="1">
      <alignment horizontal="right"/>
      <protection locked="0"/>
    </xf>
    <xf numFmtId="0" fontId="15" fillId="4" borderId="0" xfId="0" applyFont="1" applyFill="1" applyAlignment="1" applyProtection="1">
      <alignment horizontal="left"/>
      <protection locked="0"/>
    </xf>
    <xf numFmtId="0" fontId="15" fillId="0" borderId="0" xfId="0" applyFont="1" applyAlignment="1">
      <alignment horizontal="right"/>
    </xf>
    <xf numFmtId="0" fontId="15" fillId="0" borderId="0" xfId="0" applyFont="1" applyAlignment="1">
      <alignment horizontal="left"/>
    </xf>
    <xf numFmtId="0" fontId="14" fillId="0" borderId="0" xfId="0" applyFont="1"/>
    <xf numFmtId="0" fontId="12" fillId="0" borderId="0" xfId="0" applyFont="1" applyAlignment="1">
      <alignment horizontal="center"/>
    </xf>
    <xf numFmtId="0" fontId="17" fillId="0" borderId="0" xfId="0" applyFont="1" applyProtection="1">
      <protection locked="0"/>
    </xf>
    <xf numFmtId="0" fontId="12" fillId="0" borderId="0" xfId="0" applyFont="1" applyAlignment="1" applyProtection="1">
      <alignment horizontal="center"/>
      <protection locked="0"/>
    </xf>
    <xf numFmtId="3" fontId="13" fillId="5" borderId="1" xfId="0" quotePrefix="1" applyNumberFormat="1" applyFont="1" applyFill="1" applyBorder="1" applyAlignment="1">
      <alignment horizontal="right"/>
    </xf>
    <xf numFmtId="8" fontId="13" fillId="5" borderId="12" xfId="0" applyNumberFormat="1" applyFont="1" applyFill="1" applyBorder="1" applyAlignment="1">
      <alignment horizontal="right"/>
    </xf>
    <xf numFmtId="8" fontId="13" fillId="5" borderId="1" xfId="0" applyNumberFormat="1" applyFont="1" applyFill="1" applyBorder="1" applyAlignment="1">
      <alignment horizontal="right"/>
    </xf>
    <xf numFmtId="3" fontId="13" fillId="5" borderId="14" xfId="0" applyNumberFormat="1" applyFont="1" applyFill="1" applyBorder="1" applyAlignment="1">
      <alignment horizontal="center"/>
    </xf>
    <xf numFmtId="40" fontId="13" fillId="5" borderId="14" xfId="0" applyNumberFormat="1" applyFont="1" applyFill="1" applyBorder="1" applyAlignment="1">
      <alignment horizontal="center"/>
    </xf>
    <xf numFmtId="8" fontId="26" fillId="5" borderId="15" xfId="0" applyNumberFormat="1" applyFont="1" applyFill="1" applyBorder="1" applyAlignment="1">
      <alignment horizontal="right"/>
    </xf>
    <xf numFmtId="7" fontId="28" fillId="5" borderId="5" xfId="0" applyNumberFormat="1" applyFont="1" applyFill="1" applyBorder="1"/>
    <xf numFmtId="3" fontId="5" fillId="0" borderId="0" xfId="3" applyNumberFormat="1" applyFont="1" applyProtection="1">
      <protection locked="0"/>
    </xf>
    <xf numFmtId="0" fontId="15" fillId="0" borderId="0" xfId="3" applyFont="1" applyAlignment="1" applyProtection="1">
      <alignment shrinkToFit="1"/>
      <protection locked="0"/>
    </xf>
    <xf numFmtId="0" fontId="12" fillId="0" borderId="0" xfId="3" applyFont="1" applyProtection="1">
      <protection locked="0"/>
    </xf>
    <xf numFmtId="0" fontId="1" fillId="0" borderId="0" xfId="3" applyProtection="1">
      <protection locked="0"/>
    </xf>
    <xf numFmtId="0" fontId="5" fillId="4" borderId="0" xfId="3" applyFont="1" applyFill="1" applyProtection="1">
      <protection locked="0"/>
    </xf>
    <xf numFmtId="3" fontId="5" fillId="4" borderId="0" xfId="3" applyNumberFormat="1" applyFont="1" applyFill="1" applyAlignment="1" applyProtection="1">
      <alignment horizontal="left"/>
      <protection locked="0"/>
    </xf>
    <xf numFmtId="3" fontId="5" fillId="4" borderId="0" xfId="3" applyNumberFormat="1" applyFont="1" applyFill="1" applyAlignment="1" applyProtection="1">
      <alignment horizontal="center"/>
      <protection locked="0"/>
    </xf>
    <xf numFmtId="3" fontId="5" fillId="4" borderId="0" xfId="3" applyNumberFormat="1" applyFont="1" applyFill="1" applyProtection="1">
      <protection locked="0"/>
    </xf>
    <xf numFmtId="0" fontId="15" fillId="0" borderId="0" xfId="3" applyFont="1" applyAlignment="1" applyProtection="1">
      <alignment horizontal="right"/>
      <protection locked="0"/>
    </xf>
    <xf numFmtId="0" fontId="15" fillId="4" borderId="0" xfId="3" applyFont="1" applyFill="1" applyAlignment="1" applyProtection="1">
      <alignment horizontal="right"/>
      <protection locked="0"/>
    </xf>
    <xf numFmtId="0" fontId="15" fillId="4" borderId="0" xfId="3" applyFont="1" applyFill="1" applyAlignment="1" applyProtection="1">
      <alignment horizontal="left"/>
      <protection locked="0"/>
    </xf>
    <xf numFmtId="0" fontId="7" fillId="4" borderId="0" xfId="3" applyFont="1" applyFill="1" applyProtection="1">
      <protection locked="0"/>
    </xf>
    <xf numFmtId="3" fontId="5" fillId="0" borderId="0" xfId="3" applyNumberFormat="1" applyFont="1" applyAlignment="1" applyProtection="1">
      <alignment horizontal="center"/>
      <protection locked="0"/>
    </xf>
    <xf numFmtId="0" fontId="7" fillId="0" borderId="0" xfId="3" applyFont="1"/>
    <xf numFmtId="3" fontId="5" fillId="0" borderId="0" xfId="3" applyNumberFormat="1" applyFont="1"/>
    <xf numFmtId="3" fontId="5" fillId="0" borderId="0" xfId="3" applyNumberFormat="1" applyFont="1" applyAlignment="1">
      <alignment horizontal="center"/>
    </xf>
    <xf numFmtId="0" fontId="15" fillId="0" borderId="0" xfId="3" applyFont="1" applyAlignment="1">
      <alignment horizontal="right"/>
    </xf>
    <xf numFmtId="0" fontId="15" fillId="0" borderId="0" xfId="3" applyFont="1" applyAlignment="1">
      <alignment horizontal="left"/>
    </xf>
    <xf numFmtId="0" fontId="12" fillId="0" borderId="0" xfId="3" applyFont="1"/>
    <xf numFmtId="0" fontId="5" fillId="0" borderId="0" xfId="3" applyFont="1"/>
    <xf numFmtId="3" fontId="15" fillId="0" borderId="0" xfId="3" applyNumberFormat="1" applyFont="1"/>
    <xf numFmtId="0" fontId="14" fillId="0" borderId="0" xfId="3" applyFont="1"/>
    <xf numFmtId="0" fontId="12" fillId="0" borderId="0" xfId="3" applyFont="1" applyAlignment="1">
      <alignment horizontal="center"/>
    </xf>
    <xf numFmtId="0" fontId="9" fillId="0" borderId="0" xfId="3" applyFont="1" applyProtection="1">
      <protection locked="0"/>
    </xf>
    <xf numFmtId="0" fontId="15" fillId="0" borderId="0" xfId="3" applyFont="1"/>
    <xf numFmtId="3" fontId="15" fillId="0" borderId="0" xfId="3" applyNumberFormat="1" applyFont="1" applyAlignment="1">
      <alignment horizontal="center"/>
    </xf>
    <xf numFmtId="165" fontId="15" fillId="0" borderId="0" xfId="3" applyNumberFormat="1" applyFont="1"/>
    <xf numFmtId="165" fontId="16" fillId="0" borderId="9" xfId="3" applyNumberFormat="1" applyFont="1" applyBorder="1" applyProtection="1">
      <protection locked="0"/>
    </xf>
    <xf numFmtId="0" fontId="17" fillId="0" borderId="9" xfId="3" applyFont="1" applyBorder="1" applyProtection="1">
      <protection locked="0"/>
    </xf>
    <xf numFmtId="3" fontId="16" fillId="0" borderId="9" xfId="3" applyNumberFormat="1" applyFont="1" applyBorder="1" applyProtection="1">
      <protection locked="0"/>
    </xf>
    <xf numFmtId="0" fontId="18" fillId="0" borderId="9" xfId="3" applyFont="1" applyBorder="1" applyProtection="1">
      <protection locked="0"/>
    </xf>
    <xf numFmtId="0" fontId="4" fillId="0" borderId="0" xfId="3" applyFont="1" applyProtection="1">
      <protection locked="0"/>
    </xf>
    <xf numFmtId="3" fontId="16" fillId="0" borderId="1" xfId="3" applyNumberFormat="1" applyFont="1" applyBorder="1" applyProtection="1">
      <protection locked="0"/>
    </xf>
    <xf numFmtId="0" fontId="20" fillId="0" borderId="1" xfId="3" applyFont="1" applyBorder="1" applyProtection="1">
      <protection locked="0"/>
    </xf>
    <xf numFmtId="0" fontId="17" fillId="0" borderId="1" xfId="3" applyFont="1" applyBorder="1" applyProtection="1">
      <protection locked="0"/>
    </xf>
    <xf numFmtId="166" fontId="16" fillId="0" borderId="1" xfId="3" applyNumberFormat="1" applyFont="1" applyBorder="1" applyProtection="1">
      <protection locked="0"/>
    </xf>
    <xf numFmtId="0" fontId="10" fillId="0" borderId="0" xfId="3" applyFont="1" applyProtection="1">
      <protection locked="0"/>
    </xf>
    <xf numFmtId="0" fontId="17" fillId="0" borderId="0" xfId="3" applyFont="1" applyProtection="1">
      <protection locked="0"/>
    </xf>
    <xf numFmtId="0" fontId="24" fillId="2" borderId="27" xfId="3" applyFont="1" applyFill="1" applyBorder="1" applyAlignment="1">
      <alignment horizontal="center" wrapText="1"/>
    </xf>
    <xf numFmtId="0" fontId="24" fillId="2" borderId="28" xfId="3" applyFont="1" applyFill="1" applyBorder="1" applyAlignment="1">
      <alignment horizontal="center" wrapText="1"/>
    </xf>
    <xf numFmtId="0" fontId="24" fillId="2" borderId="29" xfId="3" applyFont="1" applyFill="1" applyBorder="1" applyAlignment="1">
      <alignment horizontal="center" wrapText="1"/>
    </xf>
    <xf numFmtId="0" fontId="15" fillId="3" borderId="8" xfId="3" applyFont="1" applyFill="1" applyBorder="1" applyAlignment="1">
      <alignment horizontal="center"/>
    </xf>
    <xf numFmtId="3" fontId="15" fillId="3" borderId="9" xfId="3" applyNumberFormat="1" applyFont="1" applyFill="1" applyBorder="1" applyAlignment="1">
      <alignment horizontal="center"/>
    </xf>
    <xf numFmtId="165" fontId="15" fillId="3" borderId="9" xfId="3" applyNumberFormat="1" applyFont="1" applyFill="1" applyBorder="1" applyAlignment="1">
      <alignment horizontal="center"/>
    </xf>
    <xf numFmtId="0" fontId="15" fillId="3" borderId="9" xfId="3" applyFont="1" applyFill="1" applyBorder="1" applyAlignment="1">
      <alignment horizontal="center"/>
    </xf>
    <xf numFmtId="0" fontId="25" fillId="3" borderId="9" xfId="3" applyFont="1" applyFill="1" applyBorder="1" applyAlignment="1">
      <alignment horizontal="center"/>
    </xf>
    <xf numFmtId="0" fontId="25" fillId="3" borderId="10" xfId="3" applyFont="1" applyFill="1" applyBorder="1" applyAlignment="1">
      <alignment horizontal="center"/>
    </xf>
    <xf numFmtId="0" fontId="1" fillId="0" borderId="0" xfId="3" applyAlignment="1" applyProtection="1">
      <alignment horizontal="center"/>
      <protection locked="0"/>
    </xf>
    <xf numFmtId="0" fontId="12" fillId="0" borderId="0" xfId="3" applyFont="1" applyAlignment="1" applyProtection="1">
      <alignment horizontal="center"/>
      <protection locked="0"/>
    </xf>
    <xf numFmtId="3" fontId="13" fillId="0" borderId="1" xfId="3" applyNumberFormat="1" applyFont="1" applyBorder="1" applyAlignment="1" applyProtection="1">
      <alignment horizontal="center"/>
      <protection locked="0"/>
    </xf>
    <xf numFmtId="40" fontId="13" fillId="0" borderId="1" xfId="3" applyNumberFormat="1" applyFont="1" applyBorder="1" applyAlignment="1" applyProtection="1">
      <alignment horizontal="center"/>
      <protection locked="0"/>
    </xf>
    <xf numFmtId="38" fontId="13" fillId="0" borderId="1" xfId="3" applyNumberFormat="1" applyFont="1" applyBorder="1" applyAlignment="1" applyProtection="1">
      <alignment horizontal="center"/>
      <protection locked="0"/>
    </xf>
    <xf numFmtId="40" fontId="13" fillId="0" borderId="1" xfId="3" applyNumberFormat="1" applyFont="1" applyBorder="1" applyAlignment="1" applyProtection="1">
      <alignment horizontal="right"/>
      <protection locked="0"/>
    </xf>
    <xf numFmtId="0" fontId="26" fillId="0" borderId="13" xfId="3" applyFont="1" applyBorder="1" applyAlignment="1" applyProtection="1">
      <alignment horizontal="center" wrapText="1"/>
      <protection locked="0"/>
    </xf>
    <xf numFmtId="0" fontId="26" fillId="0" borderId="0" xfId="3" applyFont="1" applyAlignment="1" applyProtection="1">
      <alignment horizontal="center" wrapText="1"/>
      <protection locked="0"/>
    </xf>
    <xf numFmtId="3" fontId="13" fillId="0" borderId="0" xfId="3" applyNumberFormat="1" applyFont="1" applyAlignment="1" applyProtection="1">
      <alignment horizontal="center"/>
      <protection locked="0"/>
    </xf>
    <xf numFmtId="38" fontId="13" fillId="0" borderId="0" xfId="3" applyNumberFormat="1" applyFont="1" applyAlignment="1" applyProtection="1">
      <alignment horizontal="center"/>
      <protection locked="0"/>
    </xf>
    <xf numFmtId="168" fontId="13" fillId="0" borderId="0" xfId="3" applyNumberFormat="1" applyFont="1" applyAlignment="1" applyProtection="1">
      <alignment horizontal="center"/>
      <protection locked="0"/>
    </xf>
    <xf numFmtId="40" fontId="13" fillId="0" borderId="0" xfId="3" applyNumberFormat="1" applyFont="1" applyAlignment="1" applyProtection="1">
      <alignment horizontal="center"/>
      <protection locked="0"/>
    </xf>
    <xf numFmtId="8" fontId="26" fillId="0" borderId="0" xfId="3" applyNumberFormat="1" applyFont="1" applyAlignment="1" applyProtection="1">
      <alignment horizontal="right"/>
      <protection locked="0"/>
    </xf>
    <xf numFmtId="0" fontId="27" fillId="0" borderId="7" xfId="3" applyFont="1" applyBorder="1" applyAlignment="1" applyProtection="1">
      <alignment wrapText="1"/>
      <protection locked="0"/>
    </xf>
    <xf numFmtId="0" fontId="13" fillId="0" borderId="0" xfId="3" applyFont="1" applyAlignment="1" applyProtection="1">
      <alignment horizontal="center" vertical="center" wrapText="1"/>
      <protection locked="0"/>
    </xf>
    <xf numFmtId="0" fontId="13" fillId="0" borderId="0" xfId="3" applyFont="1" applyAlignment="1" applyProtection="1">
      <alignment vertical="center" wrapText="1"/>
      <protection locked="0"/>
    </xf>
    <xf numFmtId="165" fontId="13" fillId="0" borderId="7" xfId="3" applyNumberFormat="1" applyFont="1" applyBorder="1" applyProtection="1">
      <protection locked="0"/>
    </xf>
    <xf numFmtId="0" fontId="13" fillId="0" borderId="0" xfId="3" quotePrefix="1" applyFont="1" applyAlignment="1" applyProtection="1">
      <alignment horizontal="center"/>
      <protection locked="0"/>
    </xf>
    <xf numFmtId="4" fontId="15" fillId="0" borderId="0" xfId="3" applyNumberFormat="1" applyFont="1" applyAlignment="1" applyProtection="1">
      <alignment horizontal="right"/>
      <protection locked="0"/>
    </xf>
    <xf numFmtId="0" fontId="24" fillId="2" borderId="4" xfId="3" applyFont="1" applyFill="1" applyBorder="1" applyAlignment="1" applyProtection="1">
      <alignment horizontal="center"/>
      <protection locked="0"/>
    </xf>
    <xf numFmtId="3" fontId="24" fillId="2" borderId="3" xfId="3" applyNumberFormat="1" applyFont="1" applyFill="1" applyBorder="1" applyAlignment="1" applyProtection="1">
      <alignment horizontal="center"/>
      <protection locked="0"/>
    </xf>
    <xf numFmtId="3" fontId="24" fillId="2" borderId="2" xfId="3" applyNumberFormat="1" applyFont="1" applyFill="1" applyBorder="1" applyAlignment="1" applyProtection="1">
      <alignment horizontal="center"/>
      <protection locked="0"/>
    </xf>
    <xf numFmtId="3" fontId="24" fillId="2" borderId="4" xfId="3" applyNumberFormat="1" applyFont="1" applyFill="1" applyBorder="1" applyAlignment="1" applyProtection="1">
      <alignment horizontal="center"/>
      <protection locked="0"/>
    </xf>
    <xf numFmtId="0" fontId="15" fillId="0" borderId="0" xfId="3" applyFont="1" applyProtection="1">
      <protection locked="0"/>
    </xf>
    <xf numFmtId="0" fontId="13" fillId="0" borderId="0" xfId="3" applyFont="1" applyProtection="1">
      <protection locked="0"/>
    </xf>
    <xf numFmtId="3" fontId="15" fillId="0" borderId="0" xfId="3" applyNumberFormat="1" applyFont="1" applyProtection="1">
      <protection locked="0"/>
    </xf>
    <xf numFmtId="3" fontId="15" fillId="0" borderId="0" xfId="3" applyNumberFormat="1" applyFont="1" applyAlignment="1" applyProtection="1">
      <alignment horizontal="right"/>
      <protection locked="0"/>
    </xf>
    <xf numFmtId="3" fontId="13" fillId="0" borderId="0" xfId="3" applyNumberFormat="1" applyFont="1" applyAlignment="1" applyProtection="1">
      <alignment horizontal="right"/>
      <protection locked="0"/>
    </xf>
    <xf numFmtId="165" fontId="15" fillId="0" borderId="0" xfId="3" applyNumberFormat="1" applyFont="1" applyProtection="1">
      <protection locked="0"/>
    </xf>
    <xf numFmtId="0" fontId="29" fillId="0" borderId="0" xfId="3" applyFont="1" applyProtection="1">
      <protection locked="0"/>
    </xf>
    <xf numFmtId="3" fontId="2" fillId="0" borderId="6" xfId="3" applyNumberFormat="1" applyFont="1" applyBorder="1" applyAlignment="1" applyProtection="1">
      <alignment horizontal="center"/>
      <protection locked="0"/>
    </xf>
    <xf numFmtId="38" fontId="13" fillId="6" borderId="1" xfId="3" applyNumberFormat="1" applyFont="1" applyFill="1" applyBorder="1" applyAlignment="1" applyProtection="1">
      <alignment horizontal="center"/>
      <protection locked="0"/>
    </xf>
    <xf numFmtId="0" fontId="12" fillId="0" borderId="11" xfId="3" applyFont="1" applyBorder="1" applyAlignment="1" applyProtection="1">
      <alignment horizontal="center" wrapText="1"/>
      <protection locked="0"/>
    </xf>
    <xf numFmtId="2" fontId="13" fillId="5" borderId="1" xfId="3" applyNumberFormat="1" applyFont="1" applyFill="1" applyBorder="1" applyAlignment="1">
      <alignment horizontal="center" wrapText="1"/>
    </xf>
    <xf numFmtId="3" fontId="13" fillId="5" borderId="1" xfId="3" quotePrefix="1" applyNumberFormat="1" applyFont="1" applyFill="1" applyBorder="1" applyAlignment="1">
      <alignment horizontal="right"/>
    </xf>
    <xf numFmtId="8" fontId="13" fillId="5" borderId="12" xfId="3" applyNumberFormat="1" applyFont="1" applyFill="1" applyBorder="1" applyAlignment="1">
      <alignment horizontal="right"/>
    </xf>
    <xf numFmtId="8" fontId="13" fillId="5" borderId="1" xfId="3" applyNumberFormat="1" applyFont="1" applyFill="1" applyBorder="1" applyAlignment="1">
      <alignment horizontal="right"/>
    </xf>
    <xf numFmtId="168" fontId="13" fillId="5" borderId="14" xfId="3" applyNumberFormat="1" applyFont="1" applyFill="1" applyBorder="1" applyAlignment="1">
      <alignment horizontal="center"/>
    </xf>
    <xf numFmtId="3" fontId="13" fillId="5" borderId="14" xfId="3" applyNumberFormat="1" applyFont="1" applyFill="1" applyBorder="1" applyAlignment="1">
      <alignment horizontal="center"/>
    </xf>
    <xf numFmtId="40" fontId="13" fillId="5" borderId="14" xfId="3" applyNumberFormat="1" applyFont="1" applyFill="1" applyBorder="1" applyAlignment="1">
      <alignment horizontal="center"/>
    </xf>
    <xf numFmtId="8" fontId="26" fillId="5" borderId="15" xfId="3" applyNumberFormat="1" applyFont="1" applyFill="1" applyBorder="1" applyAlignment="1">
      <alignment horizontal="right"/>
    </xf>
    <xf numFmtId="7" fontId="28" fillId="5" borderId="5" xfId="3" applyNumberFormat="1" applyFont="1" applyFill="1" applyBorder="1"/>
    <xf numFmtId="0" fontId="32" fillId="0" borderId="0" xfId="0" applyFont="1" applyAlignment="1">
      <alignment horizontal="right"/>
    </xf>
    <xf numFmtId="169" fontId="31" fillId="5" borderId="1" xfId="0" applyNumberFormat="1" applyFont="1" applyFill="1" applyBorder="1" applyAlignment="1">
      <alignment horizontal="center" wrapText="1"/>
    </xf>
    <xf numFmtId="3" fontId="13" fillId="7" borderId="1" xfId="0" applyNumberFormat="1" applyFont="1" applyFill="1" applyBorder="1" applyAlignment="1" applyProtection="1">
      <alignment horizontal="center"/>
      <protection locked="0"/>
    </xf>
    <xf numFmtId="40" fontId="13" fillId="7" borderId="1" xfId="0" applyNumberFormat="1" applyFont="1" applyFill="1" applyBorder="1" applyAlignment="1" applyProtection="1">
      <alignment horizontal="center"/>
      <protection locked="0"/>
    </xf>
    <xf numFmtId="38" fontId="13" fillId="7" borderId="1" xfId="0" applyNumberFormat="1" applyFont="1" applyFill="1" applyBorder="1" applyAlignment="1" applyProtection="1">
      <alignment horizontal="center"/>
      <protection locked="0"/>
    </xf>
    <xf numFmtId="40" fontId="13" fillId="7" borderId="1" xfId="0" applyNumberFormat="1" applyFont="1" applyFill="1" applyBorder="1" applyAlignment="1" applyProtection="1">
      <alignment horizontal="right"/>
      <protection locked="0"/>
    </xf>
    <xf numFmtId="0" fontId="12" fillId="0" borderId="11" xfId="0" applyFont="1" applyBorder="1" applyAlignment="1" applyProtection="1">
      <alignment horizontal="left" wrapText="1"/>
      <protection locked="0"/>
    </xf>
    <xf numFmtId="0" fontId="30" fillId="7" borderId="11" xfId="0" applyFont="1" applyFill="1" applyBorder="1" applyAlignment="1" applyProtection="1">
      <alignment horizontal="left" wrapText="1"/>
      <protection locked="0"/>
    </xf>
    <xf numFmtId="0" fontId="30" fillId="0" borderId="11" xfId="0" applyFont="1" applyBorder="1" applyAlignment="1" applyProtection="1">
      <alignment horizontal="left" wrapText="1"/>
      <protection locked="0"/>
    </xf>
    <xf numFmtId="0" fontId="12" fillId="7" borderId="11" xfId="0" applyFont="1" applyFill="1" applyBorder="1" applyAlignment="1" applyProtection="1">
      <alignment horizontal="left" wrapText="1"/>
      <protection locked="0"/>
    </xf>
    <xf numFmtId="0" fontId="31" fillId="5" borderId="1" xfId="0" applyFont="1" applyFill="1" applyBorder="1" applyAlignment="1">
      <alignment horizontal="center"/>
    </xf>
    <xf numFmtId="168" fontId="31" fillId="5" borderId="1" xfId="0" applyNumberFormat="1" applyFont="1" applyFill="1" applyBorder="1" applyAlignment="1">
      <alignment horizontal="center"/>
    </xf>
    <xf numFmtId="0" fontId="1" fillId="0" borderId="0" xfId="0" applyFont="1" applyProtection="1">
      <protection locked="0"/>
    </xf>
    <xf numFmtId="38" fontId="13" fillId="0" borderId="1" xfId="0" applyNumberFormat="1" applyFont="1" applyBorder="1" applyAlignment="1" applyProtection="1">
      <alignment horizontal="center"/>
      <protection locked="0"/>
    </xf>
    <xf numFmtId="2" fontId="19" fillId="0" borderId="24" xfId="0" applyNumberFormat="1" applyFont="1" applyBorder="1" applyAlignment="1">
      <alignment horizontal="center" vertical="center" wrapText="1"/>
    </xf>
    <xf numFmtId="2" fontId="19" fillId="0" borderId="7" xfId="0" applyNumberFormat="1" applyFont="1" applyBorder="1" applyAlignment="1">
      <alignment horizontal="center" vertical="center" wrapText="1"/>
    </xf>
    <xf numFmtId="40" fontId="13" fillId="0" borderId="1" xfId="1" applyNumberFormat="1" applyFont="1" applyFill="1" applyBorder="1" applyAlignment="1" applyProtection="1">
      <alignment horizontal="center"/>
      <protection locked="0"/>
    </xf>
    <xf numFmtId="3" fontId="6" fillId="0" borderId="20" xfId="0" applyNumberFormat="1" applyFont="1" applyBorder="1" applyAlignment="1" applyProtection="1">
      <alignment horizontal="center"/>
      <protection locked="0"/>
    </xf>
    <xf numFmtId="3" fontId="6" fillId="0" borderId="21" xfId="0" applyNumberFormat="1" applyFont="1" applyBorder="1" applyAlignment="1" applyProtection="1">
      <alignment horizontal="center"/>
      <protection locked="0"/>
    </xf>
    <xf numFmtId="0" fontId="29" fillId="0" borderId="0" xfId="0" applyFont="1" applyAlignment="1" applyProtection="1">
      <alignment horizontal="center"/>
      <protection locked="0"/>
    </xf>
    <xf numFmtId="0" fontId="24" fillId="2" borderId="3" xfId="0" applyFont="1" applyFill="1" applyBorder="1" applyAlignment="1" applyProtection="1">
      <alignment horizontal="center"/>
      <protection locked="0"/>
    </xf>
    <xf numFmtId="0" fontId="24" fillId="2" borderId="2" xfId="0" applyFont="1" applyFill="1" applyBorder="1" applyAlignment="1" applyProtection="1">
      <alignment horizontal="center"/>
      <protection locked="0"/>
    </xf>
    <xf numFmtId="0" fontId="28" fillId="0" borderId="22" xfId="0" applyFont="1" applyBorder="1" applyAlignment="1" applyProtection="1">
      <alignment horizontal="center"/>
      <protection locked="0"/>
    </xf>
    <xf numFmtId="0" fontId="28" fillId="0" borderId="7" xfId="0" applyFont="1" applyBorder="1" applyAlignment="1" applyProtection="1">
      <alignment horizontal="center"/>
      <protection locked="0"/>
    </xf>
    <xf numFmtId="17" fontId="19" fillId="0" borderId="23" xfId="0" applyNumberFormat="1" applyFont="1" applyBorder="1" applyAlignment="1" applyProtection="1">
      <alignment horizontal="center"/>
      <protection locked="0"/>
    </xf>
    <xf numFmtId="0" fontId="19" fillId="0" borderId="24" xfId="0" applyFont="1" applyBorder="1" applyAlignment="1" applyProtection="1">
      <alignment horizontal="center"/>
      <protection locked="0"/>
    </xf>
    <xf numFmtId="0" fontId="19" fillId="0" borderId="25" xfId="0" applyFont="1" applyBorder="1" applyAlignment="1" applyProtection="1">
      <alignment horizontal="center"/>
      <protection locked="0"/>
    </xf>
    <xf numFmtId="0" fontId="19" fillId="0" borderId="16" xfId="0" applyFont="1" applyBorder="1" applyAlignment="1" applyProtection="1">
      <alignment horizontal="center"/>
      <protection locked="0"/>
    </xf>
    <xf numFmtId="0" fontId="19" fillId="0" borderId="0" xfId="0" applyFont="1" applyAlignment="1" applyProtection="1">
      <alignment horizontal="center"/>
      <protection locked="0"/>
    </xf>
    <xf numFmtId="0" fontId="19" fillId="0" borderId="26" xfId="0" applyFont="1" applyBorder="1" applyAlignment="1" applyProtection="1">
      <alignment horizontal="center"/>
      <protection locked="0"/>
    </xf>
    <xf numFmtId="3" fontId="24" fillId="2" borderId="23" xfId="0" applyNumberFormat="1" applyFont="1" applyFill="1" applyBorder="1" applyAlignment="1" applyProtection="1">
      <alignment horizontal="center"/>
      <protection locked="0"/>
    </xf>
    <xf numFmtId="3" fontId="24" fillId="2" borderId="24" xfId="0" applyNumberFormat="1" applyFont="1" applyFill="1" applyBorder="1" applyAlignment="1" applyProtection="1">
      <alignment horizontal="center"/>
      <protection locked="0"/>
    </xf>
    <xf numFmtId="3" fontId="24" fillId="2" borderId="25" xfId="0" applyNumberFormat="1" applyFont="1" applyFill="1" applyBorder="1" applyAlignment="1" applyProtection="1">
      <alignment horizontal="center"/>
      <protection locked="0"/>
    </xf>
    <xf numFmtId="0" fontId="28" fillId="4" borderId="23" xfId="0" applyFont="1" applyFill="1" applyBorder="1" applyAlignment="1" applyProtection="1">
      <alignment horizontal="center"/>
      <protection locked="0"/>
    </xf>
    <xf numFmtId="0" fontId="28" fillId="4" borderId="24" xfId="0" applyFont="1" applyFill="1" applyBorder="1" applyAlignment="1" applyProtection="1">
      <alignment horizontal="center"/>
      <protection locked="0"/>
    </xf>
    <xf numFmtId="0" fontId="28" fillId="4" borderId="25" xfId="0" applyFont="1" applyFill="1" applyBorder="1" applyAlignment="1" applyProtection="1">
      <alignment horizontal="center"/>
      <protection locked="0"/>
    </xf>
    <xf numFmtId="3" fontId="19" fillId="0" borderId="16" xfId="0" applyNumberFormat="1" applyFont="1" applyBorder="1" applyAlignment="1" applyProtection="1">
      <alignment horizontal="center"/>
      <protection locked="0"/>
    </xf>
    <xf numFmtId="3" fontId="19" fillId="0" borderId="0" xfId="0" applyNumberFormat="1" applyFont="1" applyAlignment="1" applyProtection="1">
      <alignment horizontal="center"/>
      <protection locked="0"/>
    </xf>
    <xf numFmtId="3" fontId="19" fillId="0" borderId="26" xfId="0" applyNumberFormat="1" applyFont="1" applyBorder="1" applyAlignment="1" applyProtection="1">
      <alignment horizontal="center"/>
      <protection locked="0"/>
    </xf>
    <xf numFmtId="3" fontId="19" fillId="0" borderId="22" xfId="0" applyNumberFormat="1" applyFont="1" applyBorder="1" applyAlignment="1" applyProtection="1">
      <alignment horizontal="center"/>
      <protection locked="0"/>
    </xf>
    <xf numFmtId="3" fontId="19" fillId="0" borderId="7" xfId="0" applyNumberFormat="1" applyFont="1" applyBorder="1" applyAlignment="1" applyProtection="1">
      <alignment horizontal="center"/>
      <protection locked="0"/>
    </xf>
    <xf numFmtId="3" fontId="19" fillId="0" borderId="5" xfId="0" applyNumberFormat="1" applyFont="1" applyBorder="1" applyAlignment="1" applyProtection="1">
      <alignment horizontal="center"/>
      <protection locked="0"/>
    </xf>
    <xf numFmtId="0" fontId="28" fillId="0" borderId="5"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0" xfId="0" applyFont="1" applyAlignment="1" applyProtection="1">
      <alignment horizontal="center"/>
      <protection locked="0"/>
    </xf>
    <xf numFmtId="0" fontId="28" fillId="0" borderId="26" xfId="0" applyFont="1" applyBorder="1" applyAlignment="1" applyProtection="1">
      <alignment horizontal="center"/>
      <protection locked="0"/>
    </xf>
    <xf numFmtId="0" fontId="13" fillId="0" borderId="0" xfId="0" applyFont="1" applyAlignment="1" applyProtection="1">
      <alignment horizontal="left" wrapText="1"/>
      <protection locked="0"/>
    </xf>
    <xf numFmtId="0" fontId="13" fillId="0" borderId="2" xfId="0" applyFont="1" applyBorder="1" applyAlignment="1" applyProtection="1">
      <alignment horizontal="center" vertical="center" wrapText="1"/>
      <protection locked="0"/>
    </xf>
    <xf numFmtId="38" fontId="13" fillId="0" borderId="14" xfId="0" applyNumberFormat="1" applyFont="1" applyBorder="1" applyAlignment="1" applyProtection="1">
      <alignment horizontal="center"/>
      <protection locked="0"/>
    </xf>
    <xf numFmtId="40" fontId="13" fillId="0" borderId="17" xfId="1" applyNumberFormat="1" applyFont="1" applyFill="1" applyBorder="1" applyAlignment="1" applyProtection="1">
      <alignment horizontal="center"/>
      <protection locked="0"/>
    </xf>
    <xf numFmtId="40" fontId="13" fillId="0" borderId="19" xfId="1" applyNumberFormat="1" applyFont="1" applyFill="1" applyBorder="1" applyAlignment="1" applyProtection="1">
      <alignment horizontal="center"/>
      <protection locked="0"/>
    </xf>
    <xf numFmtId="38" fontId="13" fillId="0" borderId="17" xfId="0" applyNumberFormat="1" applyFont="1" applyBorder="1" applyAlignment="1" applyProtection="1">
      <alignment horizontal="center"/>
      <protection locked="0"/>
    </xf>
    <xf numFmtId="38" fontId="13" fillId="0" borderId="19" xfId="0" applyNumberFormat="1" applyFont="1" applyBorder="1" applyAlignment="1" applyProtection="1">
      <alignment horizontal="center"/>
      <protection locked="0"/>
    </xf>
    <xf numFmtId="0" fontId="19" fillId="0" borderId="7" xfId="0" applyFont="1" applyBorder="1" applyAlignment="1" applyProtection="1">
      <alignment horizontal="left" wrapText="1"/>
      <protection locked="0"/>
    </xf>
    <xf numFmtId="38" fontId="13" fillId="7" borderId="17" xfId="0" applyNumberFormat="1" applyFont="1" applyFill="1" applyBorder="1" applyAlignment="1" applyProtection="1">
      <alignment horizontal="center"/>
      <protection locked="0"/>
    </xf>
    <xf numFmtId="38" fontId="13" fillId="7" borderId="19" xfId="0" applyNumberFormat="1" applyFont="1" applyFill="1" applyBorder="1" applyAlignment="1" applyProtection="1">
      <alignment horizontal="center"/>
      <protection locked="0"/>
    </xf>
    <xf numFmtId="40" fontId="13" fillId="7" borderId="17" xfId="1" applyNumberFormat="1" applyFont="1" applyFill="1" applyBorder="1" applyAlignment="1" applyProtection="1">
      <alignment horizontal="center"/>
      <protection locked="0"/>
    </xf>
    <xf numFmtId="40" fontId="13" fillId="7" borderId="19" xfId="1" applyNumberFormat="1" applyFont="1" applyFill="1" applyBorder="1" applyAlignment="1" applyProtection="1">
      <alignment horizontal="center"/>
      <protection locked="0"/>
    </xf>
    <xf numFmtId="3" fontId="5" fillId="4" borderId="0" xfId="0" applyNumberFormat="1" applyFont="1" applyFill="1" applyAlignment="1" applyProtection="1">
      <alignment horizontal="center"/>
      <protection locked="0"/>
    </xf>
    <xf numFmtId="0" fontId="15" fillId="0" borderId="0" xfId="0" applyFont="1" applyAlignment="1" applyProtection="1">
      <alignment horizontal="right" shrinkToFit="1"/>
      <protection locked="0"/>
    </xf>
    <xf numFmtId="0" fontId="14" fillId="0" borderId="0" xfId="0" applyFont="1" applyAlignment="1">
      <alignment horizontal="center"/>
    </xf>
    <xf numFmtId="0" fontId="16" fillId="0" borderId="30" xfId="0" applyFont="1" applyBorder="1" applyAlignment="1" applyProtection="1">
      <alignment horizontal="left"/>
      <protection locked="0"/>
    </xf>
    <xf numFmtId="0" fontId="16" fillId="0" borderId="31" xfId="0" applyFont="1" applyBorder="1" applyAlignment="1" applyProtection="1">
      <alignment horizontal="left"/>
      <protection locked="0"/>
    </xf>
    <xf numFmtId="0" fontId="16" fillId="0" borderId="32" xfId="0" applyFont="1" applyBorder="1" applyAlignment="1" applyProtection="1">
      <alignment horizontal="left"/>
      <protection locked="0"/>
    </xf>
    <xf numFmtId="0" fontId="16" fillId="0" borderId="9" xfId="0" applyFont="1" applyBorder="1" applyAlignment="1" applyProtection="1">
      <alignment horizontal="left"/>
      <protection locked="0"/>
    </xf>
    <xf numFmtId="0" fontId="16" fillId="0" borderId="10" xfId="0" applyFont="1" applyBorder="1" applyAlignment="1" applyProtection="1">
      <alignment horizontal="left"/>
      <protection locked="0"/>
    </xf>
    <xf numFmtId="0" fontId="16" fillId="0" borderId="33" xfId="0" applyFont="1" applyBorder="1" applyAlignment="1" applyProtection="1">
      <alignment horizontal="left"/>
      <protection locked="0"/>
    </xf>
    <xf numFmtId="0" fontId="3" fillId="4" borderId="7" xfId="2" applyFill="1" applyBorder="1" applyAlignment="1" applyProtection="1">
      <alignment horizontal="left" wrapText="1"/>
      <protection locked="0"/>
    </xf>
    <xf numFmtId="0" fontId="27" fillId="0" borderId="7" xfId="0" applyFont="1" applyBorder="1" applyAlignment="1" applyProtection="1">
      <alignment horizontal="left"/>
      <protection locked="0"/>
    </xf>
    <xf numFmtId="14" fontId="19" fillId="0" borderId="17" xfId="0" applyNumberFormat="1" applyFont="1" applyBorder="1" applyAlignment="1" applyProtection="1">
      <alignment horizontal="center"/>
      <protection locked="0"/>
    </xf>
    <xf numFmtId="14" fontId="19" fillId="0" borderId="18" xfId="0" applyNumberFormat="1" applyFont="1" applyBorder="1" applyAlignment="1" applyProtection="1">
      <alignment horizontal="center"/>
      <protection locked="0"/>
    </xf>
    <xf numFmtId="14" fontId="19" fillId="0" borderId="19" xfId="0" applyNumberFormat="1" applyFont="1" applyBorder="1" applyAlignment="1" applyProtection="1">
      <alignment horizontal="center"/>
      <protection locked="0"/>
    </xf>
    <xf numFmtId="167" fontId="19" fillId="0" borderId="14" xfId="0" applyNumberFormat="1" applyFont="1" applyBorder="1" applyAlignment="1" applyProtection="1">
      <alignment horizontal="center"/>
      <protection locked="0"/>
    </xf>
    <xf numFmtId="0" fontId="19" fillId="0" borderId="11" xfId="0" applyFont="1" applyBorder="1" applyAlignment="1" applyProtection="1">
      <alignment horizontal="center" wrapText="1"/>
      <protection locked="0"/>
    </xf>
    <xf numFmtId="0" fontId="19" fillId="0" borderId="1" xfId="0" applyFont="1" applyBorder="1" applyAlignment="1" applyProtection="1">
      <alignment horizontal="center" wrapText="1"/>
      <protection locked="0"/>
    </xf>
    <xf numFmtId="0" fontId="21" fillId="0" borderId="14" xfId="2" applyFont="1" applyFill="1" applyBorder="1" applyAlignment="1" applyProtection="1">
      <alignment horizontal="center"/>
      <protection locked="0"/>
    </xf>
    <xf numFmtId="0" fontId="22" fillId="0" borderId="14" xfId="0" applyFont="1" applyBorder="1" applyAlignment="1" applyProtection="1">
      <alignment horizontal="center"/>
      <protection locked="0"/>
    </xf>
    <xf numFmtId="0" fontId="22" fillId="0" borderId="15" xfId="0" applyFont="1" applyBorder="1" applyAlignment="1" applyProtection="1">
      <alignment horizontal="center"/>
      <protection locked="0"/>
    </xf>
    <xf numFmtId="3" fontId="19" fillId="0" borderId="1" xfId="0" applyNumberFormat="1" applyFont="1" applyBorder="1" applyAlignment="1" applyProtection="1">
      <alignment horizontal="center"/>
      <protection locked="0"/>
    </xf>
    <xf numFmtId="1" fontId="19" fillId="0" borderId="17" xfId="0" applyNumberFormat="1" applyFont="1" applyBorder="1" applyAlignment="1" applyProtection="1">
      <alignment horizontal="center"/>
      <protection locked="0"/>
    </xf>
    <xf numFmtId="1" fontId="19" fillId="0" borderId="19" xfId="0" applyNumberFormat="1" applyFont="1" applyBorder="1" applyAlignment="1" applyProtection="1">
      <alignment horizontal="center"/>
      <protection locked="0"/>
    </xf>
    <xf numFmtId="14" fontId="19" fillId="0" borderId="1" xfId="0" applyNumberFormat="1" applyFont="1" applyBorder="1" applyAlignment="1" applyProtection="1">
      <alignment horizontal="center"/>
      <protection locked="0"/>
    </xf>
    <xf numFmtId="0" fontId="19" fillId="0" borderId="12" xfId="0" applyFont="1" applyBorder="1" applyAlignment="1" applyProtection="1">
      <alignment horizontal="center"/>
      <protection locked="0"/>
    </xf>
    <xf numFmtId="0" fontId="16" fillId="0" borderId="34" xfId="0" applyFont="1" applyBorder="1" applyAlignment="1" applyProtection="1">
      <alignment horizontal="left"/>
      <protection locked="0"/>
    </xf>
    <xf numFmtId="0" fontId="16" fillId="0" borderId="18" xfId="0" applyFont="1" applyBorder="1" applyAlignment="1" applyProtection="1">
      <alignment horizontal="left"/>
      <protection locked="0"/>
    </xf>
    <xf numFmtId="0" fontId="16" fillId="0" borderId="19" xfId="0" applyFont="1" applyBorder="1" applyAlignment="1" applyProtection="1">
      <alignment horizontal="left"/>
      <protection locked="0"/>
    </xf>
    <xf numFmtId="0" fontId="19" fillId="0" borderId="13" xfId="0" applyFont="1" applyBorder="1" applyAlignment="1" applyProtection="1">
      <alignment horizontal="center"/>
      <protection locked="0"/>
    </xf>
    <xf numFmtId="0" fontId="19" fillId="0" borderId="14" xfId="0" applyFont="1" applyBorder="1" applyAlignment="1" applyProtection="1">
      <alignment horizontal="center"/>
      <protection locked="0"/>
    </xf>
    <xf numFmtId="164" fontId="16" fillId="0" borderId="17" xfId="0" applyNumberFormat="1" applyFont="1" applyBorder="1" applyAlignment="1" applyProtection="1">
      <alignment horizontal="left"/>
      <protection locked="0"/>
    </xf>
    <xf numFmtId="164" fontId="16" fillId="0" borderId="18" xfId="0" applyNumberFormat="1" applyFont="1" applyBorder="1" applyAlignment="1" applyProtection="1">
      <alignment horizontal="left"/>
      <protection locked="0"/>
    </xf>
    <xf numFmtId="164" fontId="16" fillId="0" borderId="35" xfId="0" applyNumberFormat="1" applyFont="1" applyBorder="1" applyAlignment="1" applyProtection="1">
      <alignment horizontal="left"/>
      <protection locked="0"/>
    </xf>
    <xf numFmtId="3" fontId="13" fillId="0" borderId="14" xfId="0" applyNumberFormat="1" applyFont="1" applyBorder="1" applyAlignment="1" applyProtection="1">
      <alignment horizontal="center"/>
      <protection locked="0"/>
    </xf>
    <xf numFmtId="38" fontId="13" fillId="7" borderId="1" xfId="0" applyNumberFormat="1" applyFont="1" applyFill="1" applyBorder="1" applyAlignment="1" applyProtection="1">
      <alignment horizontal="center"/>
      <protection locked="0"/>
    </xf>
    <xf numFmtId="40" fontId="13" fillId="7" borderId="1" xfId="1" applyNumberFormat="1" applyFont="1" applyFill="1" applyBorder="1" applyAlignment="1" applyProtection="1">
      <alignment horizontal="center"/>
      <protection locked="0"/>
    </xf>
    <xf numFmtId="3" fontId="24" fillId="2" borderId="28" xfId="0" applyNumberFormat="1" applyFont="1" applyFill="1" applyBorder="1" applyAlignment="1">
      <alignment horizontal="center" wrapText="1"/>
    </xf>
    <xf numFmtId="2" fontId="19" fillId="4" borderId="0" xfId="0" applyNumberFormat="1" applyFont="1" applyFill="1" applyAlignment="1">
      <alignment horizontal="center" vertical="center" wrapText="1"/>
    </xf>
    <xf numFmtId="165" fontId="24" fillId="2" borderId="28" xfId="0" applyNumberFormat="1" applyFont="1" applyFill="1" applyBorder="1" applyAlignment="1">
      <alignment horizontal="center" wrapText="1"/>
    </xf>
    <xf numFmtId="0" fontId="24" fillId="2" borderId="28" xfId="0" applyFont="1" applyFill="1" applyBorder="1" applyAlignment="1">
      <alignment horizontal="center" wrapText="1"/>
    </xf>
    <xf numFmtId="3" fontId="15" fillId="3" borderId="9" xfId="0" applyNumberFormat="1" applyFont="1" applyFill="1" applyBorder="1" applyAlignment="1">
      <alignment horizontal="center"/>
    </xf>
    <xf numFmtId="0" fontId="13" fillId="0" borderId="2" xfId="3" applyFont="1" applyBorder="1" applyAlignment="1" applyProtection="1">
      <alignment horizontal="center" vertical="center" wrapText="1"/>
      <protection locked="0"/>
    </xf>
    <xf numFmtId="38" fontId="13" fillId="0" borderId="14" xfId="3" applyNumberFormat="1" applyFont="1" applyBorder="1" applyAlignment="1" applyProtection="1">
      <alignment horizontal="center"/>
      <protection locked="0"/>
    </xf>
    <xf numFmtId="3" fontId="13" fillId="0" borderId="14" xfId="3" applyNumberFormat="1" applyFont="1" applyBorder="1" applyAlignment="1" applyProtection="1">
      <alignment horizontal="center"/>
      <protection locked="0"/>
    </xf>
    <xf numFmtId="0" fontId="19" fillId="0" borderId="7" xfId="3" applyFont="1" applyBorder="1" applyAlignment="1" applyProtection="1">
      <alignment horizontal="left" wrapText="1"/>
      <protection locked="0"/>
    </xf>
    <xf numFmtId="38" fontId="13" fillId="0" borderId="1" xfId="3" applyNumberFormat="1" applyFont="1" applyBorder="1" applyAlignment="1" applyProtection="1">
      <alignment horizontal="center"/>
      <protection locked="0"/>
    </xf>
    <xf numFmtId="0" fontId="27" fillId="0" borderId="7" xfId="3" applyFont="1" applyBorder="1" applyAlignment="1" applyProtection="1">
      <alignment horizontal="left"/>
      <protection locked="0"/>
    </xf>
    <xf numFmtId="2" fontId="19" fillId="0" borderId="24" xfId="3" applyNumberFormat="1" applyFont="1" applyBorder="1" applyAlignment="1">
      <alignment horizontal="center" vertical="center" wrapText="1"/>
    </xf>
    <xf numFmtId="2" fontId="19" fillId="0" borderId="7" xfId="3" applyNumberFormat="1" applyFont="1" applyBorder="1" applyAlignment="1">
      <alignment horizontal="center" vertical="center" wrapText="1"/>
    </xf>
    <xf numFmtId="167" fontId="19" fillId="0" borderId="14" xfId="3" applyNumberFormat="1" applyFont="1" applyBorder="1" applyAlignment="1" applyProtection="1">
      <alignment horizontal="center"/>
      <protection locked="0"/>
    </xf>
    <xf numFmtId="3" fontId="15" fillId="3" borderId="9" xfId="3" applyNumberFormat="1" applyFont="1" applyFill="1" applyBorder="1" applyAlignment="1">
      <alignment horizontal="center"/>
    </xf>
    <xf numFmtId="3" fontId="24" fillId="2" borderId="28" xfId="3" applyNumberFormat="1" applyFont="1" applyFill="1" applyBorder="1" applyAlignment="1">
      <alignment horizontal="center" wrapText="1"/>
    </xf>
    <xf numFmtId="2" fontId="19" fillId="4" borderId="0" xfId="3" applyNumberFormat="1" applyFont="1" applyFill="1" applyAlignment="1">
      <alignment horizontal="center" vertical="center" wrapText="1"/>
    </xf>
    <xf numFmtId="165" fontId="24" fillId="2" borderId="28" xfId="3" applyNumberFormat="1" applyFont="1" applyFill="1" applyBorder="1" applyAlignment="1">
      <alignment horizontal="center" wrapText="1"/>
    </xf>
    <xf numFmtId="0" fontId="24" fillId="2" borderId="28" xfId="3" applyFont="1" applyFill="1" applyBorder="1" applyAlignment="1">
      <alignment horizontal="center" wrapText="1"/>
    </xf>
    <xf numFmtId="3" fontId="5" fillId="4" borderId="0" xfId="3" applyNumberFormat="1" applyFont="1" applyFill="1" applyAlignment="1" applyProtection="1">
      <alignment horizontal="center"/>
      <protection locked="0"/>
    </xf>
    <xf numFmtId="0" fontId="15" fillId="0" borderId="0" xfId="3" applyFont="1" applyAlignment="1" applyProtection="1">
      <alignment horizontal="right" shrinkToFit="1"/>
      <protection locked="0"/>
    </xf>
    <xf numFmtId="0" fontId="14" fillId="0" borderId="0" xfId="3" applyFont="1" applyAlignment="1">
      <alignment horizontal="center"/>
    </xf>
    <xf numFmtId="0" fontId="16" fillId="0" borderId="30" xfId="3" applyFont="1" applyBorder="1" applyAlignment="1" applyProtection="1">
      <alignment horizontal="left"/>
      <protection locked="0"/>
    </xf>
    <xf numFmtId="0" fontId="16" fillId="0" borderId="31" xfId="3" applyFont="1" applyBorder="1" applyAlignment="1" applyProtection="1">
      <alignment horizontal="left"/>
      <protection locked="0"/>
    </xf>
    <xf numFmtId="0" fontId="16" fillId="0" borderId="32" xfId="3" applyFont="1" applyBorder="1" applyAlignment="1" applyProtection="1">
      <alignment horizontal="left"/>
      <protection locked="0"/>
    </xf>
    <xf numFmtId="0" fontId="16" fillId="0" borderId="9" xfId="3" applyFont="1" applyBorder="1" applyAlignment="1" applyProtection="1">
      <alignment horizontal="left"/>
      <protection locked="0"/>
    </xf>
    <xf numFmtId="0" fontId="16" fillId="0" borderId="10" xfId="3" applyFont="1" applyBorder="1" applyAlignment="1" applyProtection="1">
      <alignment horizontal="left"/>
      <protection locked="0"/>
    </xf>
    <xf numFmtId="0" fontId="16" fillId="0" borderId="33" xfId="3" applyFont="1" applyBorder="1" applyAlignment="1" applyProtection="1">
      <alignment horizontal="left"/>
      <protection locked="0"/>
    </xf>
    <xf numFmtId="14" fontId="19" fillId="0" borderId="17" xfId="3" applyNumberFormat="1" applyFont="1" applyBorder="1" applyAlignment="1" applyProtection="1">
      <alignment horizontal="center"/>
      <protection locked="0"/>
    </xf>
    <xf numFmtId="14" fontId="19" fillId="0" borderId="18" xfId="3" applyNumberFormat="1" applyFont="1" applyBorder="1" applyAlignment="1" applyProtection="1">
      <alignment horizontal="center"/>
      <protection locked="0"/>
    </xf>
    <xf numFmtId="14" fontId="19" fillId="0" borderId="19" xfId="3" applyNumberFormat="1" applyFont="1" applyBorder="1" applyAlignment="1" applyProtection="1">
      <alignment horizontal="center"/>
      <protection locked="0"/>
    </xf>
    <xf numFmtId="0" fontId="19" fillId="0" borderId="11" xfId="3" applyFont="1" applyBorder="1" applyAlignment="1" applyProtection="1">
      <alignment horizontal="center" wrapText="1"/>
      <protection locked="0"/>
    </xf>
    <xf numFmtId="0" fontId="19" fillId="0" borderId="1" xfId="3" applyFont="1" applyBorder="1" applyAlignment="1" applyProtection="1">
      <alignment horizontal="center" wrapText="1"/>
      <protection locked="0"/>
    </xf>
    <xf numFmtId="0" fontId="22" fillId="0" borderId="14" xfId="3" applyFont="1" applyBorder="1" applyAlignment="1" applyProtection="1">
      <alignment horizontal="center"/>
      <protection locked="0"/>
    </xf>
    <xf numFmtId="0" fontId="22" fillId="0" borderId="15" xfId="3" applyFont="1" applyBorder="1" applyAlignment="1" applyProtection="1">
      <alignment horizontal="center"/>
      <protection locked="0"/>
    </xf>
    <xf numFmtId="3" fontId="19" fillId="0" borderId="1" xfId="3" applyNumberFormat="1" applyFont="1" applyBorder="1" applyAlignment="1" applyProtection="1">
      <alignment horizontal="center"/>
      <protection locked="0"/>
    </xf>
    <xf numFmtId="1" fontId="19" fillId="0" borderId="17" xfId="3" applyNumberFormat="1" applyFont="1" applyBorder="1" applyAlignment="1" applyProtection="1">
      <alignment horizontal="center"/>
      <protection locked="0"/>
    </xf>
    <xf numFmtId="1" fontId="19" fillId="0" borderId="19" xfId="3" applyNumberFormat="1" applyFont="1" applyBorder="1" applyAlignment="1" applyProtection="1">
      <alignment horizontal="center"/>
      <protection locked="0"/>
    </xf>
    <xf numFmtId="14" fontId="19" fillId="0" borderId="1" xfId="3" applyNumberFormat="1" applyFont="1" applyBorder="1" applyAlignment="1" applyProtection="1">
      <alignment horizontal="center"/>
      <protection locked="0"/>
    </xf>
    <xf numFmtId="0" fontId="19" fillId="0" borderId="12" xfId="3" applyFont="1" applyBorder="1" applyAlignment="1" applyProtection="1">
      <alignment horizontal="center"/>
      <protection locked="0"/>
    </xf>
    <xf numFmtId="0" fontId="16" fillId="0" borderId="34" xfId="3" applyFont="1" applyBorder="1" applyAlignment="1" applyProtection="1">
      <alignment horizontal="left"/>
      <protection locked="0"/>
    </xf>
    <xf numFmtId="0" fontId="16" fillId="0" borderId="18" xfId="3" applyFont="1" applyBorder="1" applyAlignment="1" applyProtection="1">
      <alignment horizontal="left"/>
      <protection locked="0"/>
    </xf>
    <xf numFmtId="0" fontId="16" fillId="0" borderId="19" xfId="3" applyFont="1" applyBorder="1" applyAlignment="1" applyProtection="1">
      <alignment horizontal="left"/>
      <protection locked="0"/>
    </xf>
    <xf numFmtId="0" fontId="19" fillId="0" borderId="13" xfId="3" applyFont="1" applyBorder="1" applyAlignment="1" applyProtection="1">
      <alignment horizontal="center"/>
      <protection locked="0"/>
    </xf>
    <xf numFmtId="0" fontId="19" fillId="0" borderId="14" xfId="3" applyFont="1" applyBorder="1" applyAlignment="1" applyProtection="1">
      <alignment horizontal="center"/>
      <protection locked="0"/>
    </xf>
    <xf numFmtId="164" fontId="16" fillId="0" borderId="17" xfId="3" applyNumberFormat="1" applyFont="1" applyBorder="1" applyAlignment="1" applyProtection="1">
      <alignment horizontal="left"/>
      <protection locked="0"/>
    </xf>
    <xf numFmtId="164" fontId="16" fillId="0" borderId="18" xfId="3" applyNumberFormat="1" applyFont="1" applyBorder="1" applyAlignment="1" applyProtection="1">
      <alignment horizontal="left"/>
      <protection locked="0"/>
    </xf>
    <xf numFmtId="164" fontId="16" fillId="0" borderId="35" xfId="3" applyNumberFormat="1" applyFont="1" applyBorder="1" applyAlignment="1" applyProtection="1">
      <alignment horizontal="left"/>
      <protection locked="0"/>
    </xf>
    <xf numFmtId="0" fontId="13" fillId="0" borderId="0" xfId="3" applyFont="1" applyAlignment="1" applyProtection="1">
      <alignment horizontal="left" wrapText="1"/>
      <protection locked="0"/>
    </xf>
    <xf numFmtId="3" fontId="2" fillId="0" borderId="20" xfId="3" applyNumberFormat="1" applyFont="1" applyBorder="1" applyAlignment="1" applyProtection="1">
      <alignment horizontal="center"/>
      <protection locked="0"/>
    </xf>
    <xf numFmtId="3" fontId="2" fillId="0" borderId="21" xfId="3" applyNumberFormat="1" applyFont="1" applyBorder="1" applyAlignment="1" applyProtection="1">
      <alignment horizontal="center"/>
      <protection locked="0"/>
    </xf>
    <xf numFmtId="0" fontId="29" fillId="0" borderId="0" xfId="3" applyFont="1" applyAlignment="1" applyProtection="1">
      <alignment horizontal="center"/>
      <protection locked="0"/>
    </xf>
    <xf numFmtId="0" fontId="24" fillId="2" borderId="3" xfId="3" applyFont="1" applyFill="1" applyBorder="1" applyAlignment="1" applyProtection="1">
      <alignment horizontal="center"/>
      <protection locked="0"/>
    </xf>
    <xf numFmtId="0" fontId="24" fillId="2" borderId="2" xfId="3" applyFont="1" applyFill="1" applyBorder="1" applyAlignment="1" applyProtection="1">
      <alignment horizontal="center"/>
      <protection locked="0"/>
    </xf>
    <xf numFmtId="0" fontId="28" fillId="0" borderId="22" xfId="3" applyFont="1" applyBorder="1" applyAlignment="1" applyProtection="1">
      <alignment horizontal="center"/>
      <protection locked="0"/>
    </xf>
    <xf numFmtId="0" fontId="28" fillId="0" borderId="7" xfId="3" applyFont="1" applyBorder="1" applyAlignment="1" applyProtection="1">
      <alignment horizontal="center"/>
      <protection locked="0"/>
    </xf>
    <xf numFmtId="0" fontId="19" fillId="0" borderId="23" xfId="3" applyFont="1" applyBorder="1" applyAlignment="1" applyProtection="1">
      <alignment horizontal="center"/>
      <protection locked="0"/>
    </xf>
    <xf numFmtId="0" fontId="19" fillId="0" borderId="24" xfId="3" applyFont="1" applyBorder="1" applyAlignment="1" applyProtection="1">
      <alignment horizontal="center"/>
      <protection locked="0"/>
    </xf>
    <xf numFmtId="0" fontId="19" fillId="0" borderId="25" xfId="3" applyFont="1" applyBorder="1" applyAlignment="1" applyProtection="1">
      <alignment horizontal="center"/>
      <protection locked="0"/>
    </xf>
    <xf numFmtId="0" fontId="19" fillId="0" borderId="16" xfId="3" applyFont="1" applyBorder="1" applyAlignment="1" applyProtection="1">
      <alignment horizontal="center"/>
      <protection locked="0"/>
    </xf>
    <xf numFmtId="0" fontId="19" fillId="0" borderId="0" xfId="3" applyFont="1" applyAlignment="1" applyProtection="1">
      <alignment horizontal="center"/>
      <protection locked="0"/>
    </xf>
    <xf numFmtId="0" fontId="19" fillId="0" borderId="26" xfId="3" applyFont="1" applyBorder="1" applyAlignment="1" applyProtection="1">
      <alignment horizontal="center"/>
      <protection locked="0"/>
    </xf>
    <xf numFmtId="3" fontId="24" fillId="2" borderId="23" xfId="3" applyNumberFormat="1" applyFont="1" applyFill="1" applyBorder="1" applyAlignment="1" applyProtection="1">
      <alignment horizontal="center"/>
      <protection locked="0"/>
    </xf>
    <xf numFmtId="3" fontId="24" fillId="2" borderId="24" xfId="3" applyNumberFormat="1" applyFont="1" applyFill="1" applyBorder="1" applyAlignment="1" applyProtection="1">
      <alignment horizontal="center"/>
      <protection locked="0"/>
    </xf>
    <xf numFmtId="3" fontId="24" fillId="2" borderId="25" xfId="3" applyNumberFormat="1" applyFont="1" applyFill="1" applyBorder="1" applyAlignment="1" applyProtection="1">
      <alignment horizontal="center"/>
      <protection locked="0"/>
    </xf>
    <xf numFmtId="0" fontId="28" fillId="4" borderId="23" xfId="3" applyFont="1" applyFill="1" applyBorder="1" applyAlignment="1" applyProtection="1">
      <alignment horizontal="center"/>
      <protection locked="0"/>
    </xf>
    <xf numFmtId="0" fontId="28" fillId="4" borderId="24" xfId="3" applyFont="1" applyFill="1" applyBorder="1" applyAlignment="1" applyProtection="1">
      <alignment horizontal="center"/>
      <protection locked="0"/>
    </xf>
    <xf numFmtId="0" fontId="28" fillId="4" borderId="25" xfId="3" applyFont="1" applyFill="1" applyBorder="1" applyAlignment="1" applyProtection="1">
      <alignment horizontal="center"/>
      <protection locked="0"/>
    </xf>
    <xf numFmtId="3" fontId="19" fillId="0" borderId="16" xfId="3" applyNumberFormat="1" applyFont="1" applyBorder="1" applyAlignment="1" applyProtection="1">
      <alignment horizontal="center"/>
      <protection locked="0"/>
    </xf>
    <xf numFmtId="3" fontId="19" fillId="0" borderId="0" xfId="3" applyNumberFormat="1" applyFont="1" applyAlignment="1" applyProtection="1">
      <alignment horizontal="center"/>
      <protection locked="0"/>
    </xf>
    <xf numFmtId="3" fontId="19" fillId="0" borderId="26" xfId="3" applyNumberFormat="1" applyFont="1" applyBorder="1" applyAlignment="1" applyProtection="1">
      <alignment horizontal="center"/>
      <protection locked="0"/>
    </xf>
    <xf numFmtId="3" fontId="19" fillId="0" borderId="22" xfId="3" applyNumberFormat="1" applyFont="1" applyBorder="1" applyAlignment="1" applyProtection="1">
      <alignment horizontal="center"/>
      <protection locked="0"/>
    </xf>
    <xf numFmtId="3" fontId="19" fillId="0" borderId="7" xfId="3" applyNumberFormat="1" applyFont="1" applyBorder="1" applyAlignment="1" applyProtection="1">
      <alignment horizontal="center"/>
      <protection locked="0"/>
    </xf>
    <xf numFmtId="3" fontId="19" fillId="0" borderId="5" xfId="3" applyNumberFormat="1" applyFont="1" applyBorder="1" applyAlignment="1" applyProtection="1">
      <alignment horizontal="center"/>
      <protection locked="0"/>
    </xf>
    <xf numFmtId="0" fontId="28" fillId="0" borderId="5" xfId="3" applyFont="1" applyBorder="1" applyAlignment="1" applyProtection="1">
      <alignment horizontal="center"/>
      <protection locked="0"/>
    </xf>
    <xf numFmtId="0" fontId="28" fillId="0" borderId="16" xfId="3" applyFont="1" applyBorder="1" applyAlignment="1" applyProtection="1">
      <alignment horizontal="center"/>
      <protection locked="0"/>
    </xf>
    <xf numFmtId="0" fontId="28" fillId="0" borderId="0" xfId="3" applyFont="1" applyAlignment="1" applyProtection="1">
      <alignment horizontal="center"/>
      <protection locked="0"/>
    </xf>
    <xf numFmtId="0" fontId="28" fillId="0" borderId="26" xfId="3" applyFont="1" applyBorder="1" applyAlignment="1" applyProtection="1">
      <alignment horizontal="center"/>
      <protection locked="0"/>
    </xf>
    <xf numFmtId="0" fontId="0" fillId="0" borderId="0" xfId="0" applyAlignment="1">
      <alignment horizontal="left" wrapText="1"/>
    </xf>
  </cellXfs>
  <cellStyles count="4">
    <cellStyle name="Comma" xfId="1" builtinId="3"/>
    <cellStyle name="Hyperlink" xfId="2" builtinId="8"/>
    <cellStyle name="Normal" xfId="0" builtinId="0"/>
    <cellStyle name="Normal 2" xfId="3"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228600</xdr:colOff>
          <xdr:row>3</xdr:row>
          <xdr:rowOff>7620</xdr:rowOff>
        </xdr:from>
        <xdr:to>
          <xdr:col>17</xdr:col>
          <xdr:colOff>22860</xdr:colOff>
          <xdr:row>6</xdr:row>
          <xdr:rowOff>7620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80"/>
                  </a:solidFill>
                  <a:latin typeface="Arial"/>
                  <a:cs typeface="Arial"/>
                </a:rPr>
                <a:t>Unprotect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22860</xdr:rowOff>
        </xdr:from>
        <xdr:to>
          <xdr:col>17</xdr:col>
          <xdr:colOff>30480</xdr:colOff>
          <xdr:row>10</xdr:row>
          <xdr:rowOff>106680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80"/>
                  </a:solidFill>
                  <a:latin typeface="Arial"/>
                  <a:cs typeface="Arial"/>
                </a:rPr>
                <a:t>Save As PDF</a:t>
              </a:r>
            </a:p>
          </xdr:txBody>
        </xdr:sp>
        <xdr:clientData fPrintsWithSheet="0"/>
      </xdr:twoCellAnchor>
    </mc:Choice>
    <mc:Fallback/>
  </mc:AlternateContent>
  <xdr:twoCellAnchor editAs="oneCell">
    <xdr:from>
      <xdr:col>0</xdr:col>
      <xdr:colOff>114300</xdr:colOff>
      <xdr:row>0</xdr:row>
      <xdr:rowOff>92153</xdr:rowOff>
    </xdr:from>
    <xdr:to>
      <xdr:col>3</xdr:col>
      <xdr:colOff>287020</xdr:colOff>
      <xdr:row>3</xdr:row>
      <xdr:rowOff>153464</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14300" y="92153"/>
          <a:ext cx="3633587" cy="6055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228600</xdr:colOff>
          <xdr:row>3</xdr:row>
          <xdr:rowOff>7620</xdr:rowOff>
        </xdr:from>
        <xdr:to>
          <xdr:col>17</xdr:col>
          <xdr:colOff>22860</xdr:colOff>
          <xdr:row>6</xdr:row>
          <xdr:rowOff>7620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80"/>
                  </a:solidFill>
                  <a:latin typeface="Arial"/>
                  <a:cs typeface="Arial"/>
                </a:rPr>
                <a:t>Unprotect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22860</xdr:rowOff>
        </xdr:from>
        <xdr:to>
          <xdr:col>17</xdr:col>
          <xdr:colOff>30480</xdr:colOff>
          <xdr:row>10</xdr:row>
          <xdr:rowOff>106680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80"/>
                  </a:solidFill>
                  <a:latin typeface="Arial"/>
                  <a:cs typeface="Arial"/>
                </a:rPr>
                <a:t>Save As PDF</a:t>
              </a:r>
            </a:p>
          </xdr:txBody>
        </xdr:sp>
        <xdr:clientData fPrintsWithSheet="0"/>
      </xdr:twoCellAnchor>
    </mc:Choice>
    <mc:Fallback/>
  </mc:AlternateContent>
  <xdr:oneCellAnchor>
    <xdr:from>
      <xdr:col>0</xdr:col>
      <xdr:colOff>114300</xdr:colOff>
      <xdr:row>0</xdr:row>
      <xdr:rowOff>92153</xdr:rowOff>
    </xdr:from>
    <xdr:ext cx="3339086" cy="557572"/>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14300" y="92153"/>
          <a:ext cx="3339086" cy="557572"/>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9</xdr:col>
      <xdr:colOff>603250</xdr:colOff>
      <xdr:row>3</xdr:row>
      <xdr:rowOff>12700</xdr:rowOff>
    </xdr:from>
    <xdr:to>
      <xdr:col>15</xdr:col>
      <xdr:colOff>45170</xdr:colOff>
      <xdr:row>11</xdr:row>
      <xdr:rowOff>63298</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642100" y="685800"/>
          <a:ext cx="3099520" cy="132059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13</xdr:col>
      <xdr:colOff>569287</xdr:colOff>
      <xdr:row>49</xdr:row>
      <xdr:rowOff>69850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828800" y="158750"/>
          <a:ext cx="6665287" cy="7689850"/>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marketing-onesource.com/A/OneSource/79494" TargetMode="External"/><Relationship Id="rId1" Type="http://schemas.openxmlformats.org/officeDocument/2006/relationships/hyperlink" Target="http://www.bcbstx.com/ANCILLARY"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openxmlformats.org/officeDocument/2006/relationships/ctrlProp" Target="../ctrlProps/ctrlProp4.xml"/><Relationship Id="rId2" Type="http://schemas.openxmlformats.org/officeDocument/2006/relationships/hyperlink" Target="https://marketing-onesource.com/A/OneSource/79494" TargetMode="External"/><Relationship Id="rId1" Type="http://schemas.openxmlformats.org/officeDocument/2006/relationships/hyperlink" Target="http://www.bcbstx.com/ANCILLARY" TargetMode="External"/><Relationship Id="rId6" Type="http://schemas.openxmlformats.org/officeDocument/2006/relationships/ctrlProp" Target="../ctrlProps/ctrlProp3.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Q65555"/>
  <sheetViews>
    <sheetView tabSelected="1" topLeftCell="A40" zoomScaleNormal="100" zoomScaleSheetLayoutView="120" workbookViewId="0">
      <selection activeCell="P67" sqref="P67:Q67"/>
    </sheetView>
  </sheetViews>
  <sheetFormatPr defaultColWidth="9.109375" defaultRowHeight="13.2" x14ac:dyDescent="0.25"/>
  <cols>
    <col min="1" max="1" width="22.6640625" style="3" customWidth="1"/>
    <col min="2" max="2" width="9.44140625" style="3" customWidth="1"/>
    <col min="3" max="3" width="13.33203125" style="3" customWidth="1"/>
    <col min="4" max="4" width="5.88671875" style="3" bestFit="1" customWidth="1"/>
    <col min="5" max="5" width="5.44140625" style="3" customWidth="1"/>
    <col min="6" max="6" width="5.88671875" style="3" customWidth="1"/>
    <col min="7" max="7" width="10.109375" style="3" customWidth="1"/>
    <col min="8" max="8" width="9.88671875" style="3" customWidth="1"/>
    <col min="9" max="9" width="13.44140625" style="3" customWidth="1"/>
    <col min="10" max="10" width="8.33203125" style="3" customWidth="1"/>
    <col min="11" max="11" width="5.88671875" style="3" customWidth="1"/>
    <col min="12" max="12" width="14.44140625" style="3" customWidth="1"/>
    <col min="13" max="13" width="17" style="3" bestFit="1" customWidth="1"/>
    <col min="14" max="14" width="16.109375" style="3" customWidth="1"/>
    <col min="15" max="15" width="3.44140625" style="3" customWidth="1"/>
    <col min="16" max="17" width="9.6640625" style="3" customWidth="1"/>
    <col min="18" max="16384" width="9.109375" style="3"/>
  </cols>
  <sheetData>
    <row r="1" spans="1:17" ht="13.8" x14ac:dyDescent="0.3">
      <c r="A1" s="237"/>
      <c r="B1" s="237"/>
      <c r="C1" s="237"/>
      <c r="D1" s="237"/>
      <c r="E1" s="2"/>
      <c r="F1" s="2"/>
      <c r="G1" s="2"/>
      <c r="H1" s="2"/>
      <c r="I1" s="238"/>
      <c r="J1" s="238"/>
      <c r="K1" s="74"/>
      <c r="L1" s="74"/>
      <c r="M1" s="59"/>
      <c r="N1" s="59"/>
    </row>
    <row r="2" spans="1:17" ht="13.8" x14ac:dyDescent="0.3">
      <c r="A2" s="14"/>
      <c r="B2" s="15"/>
      <c r="C2" s="16"/>
      <c r="D2" s="17"/>
      <c r="E2" s="2"/>
      <c r="F2" s="2"/>
      <c r="G2" s="2"/>
      <c r="H2" s="2"/>
      <c r="I2" s="72"/>
      <c r="J2" s="72"/>
      <c r="K2" s="72"/>
      <c r="L2" s="75" t="s">
        <v>11</v>
      </c>
      <c r="M2" s="76" t="s">
        <v>44</v>
      </c>
      <c r="N2" s="59"/>
    </row>
    <row r="3" spans="1:17" ht="13.8" x14ac:dyDescent="0.3">
      <c r="A3" s="18"/>
      <c r="B3" s="15"/>
      <c r="C3" s="16"/>
      <c r="D3" s="16"/>
      <c r="E3" s="4"/>
      <c r="F3" s="4"/>
      <c r="G3" s="4"/>
      <c r="H3" s="4"/>
      <c r="I3" s="72"/>
      <c r="J3" s="72"/>
      <c r="K3" s="72"/>
      <c r="L3" s="75" t="s">
        <v>12</v>
      </c>
      <c r="M3" s="19" t="s">
        <v>45</v>
      </c>
      <c r="N3" s="59"/>
    </row>
    <row r="4" spans="1:17" ht="13.8" x14ac:dyDescent="0.3">
      <c r="A4" s="10"/>
      <c r="B4" s="11"/>
      <c r="C4" s="12"/>
      <c r="D4" s="11"/>
      <c r="E4" s="11"/>
      <c r="F4" s="11"/>
      <c r="G4" s="11"/>
      <c r="H4" s="11"/>
      <c r="I4" s="77"/>
      <c r="J4" s="77"/>
      <c r="K4" s="77"/>
      <c r="L4" s="77"/>
      <c r="M4" s="78"/>
      <c r="N4" s="24"/>
    </row>
    <row r="5" spans="1:17" ht="15.6" x14ac:dyDescent="0.3">
      <c r="A5" s="13"/>
      <c r="B5" s="13"/>
      <c r="C5" s="13"/>
      <c r="D5" s="13"/>
      <c r="E5" s="13"/>
      <c r="F5" s="13"/>
      <c r="G5" s="13"/>
      <c r="H5" s="11"/>
      <c r="I5" s="21"/>
      <c r="J5" s="79"/>
      <c r="K5" s="79"/>
      <c r="L5" s="79"/>
      <c r="M5" s="80"/>
      <c r="N5" s="24"/>
    </row>
    <row r="6" spans="1:17" s="6" customFormat="1" ht="16.8" x14ac:dyDescent="0.3">
      <c r="A6" s="239" t="s">
        <v>23</v>
      </c>
      <c r="B6" s="239"/>
      <c r="C6" s="239"/>
      <c r="D6" s="239"/>
      <c r="E6" s="239"/>
      <c r="F6" s="239"/>
      <c r="G6" s="239"/>
      <c r="H6" s="239"/>
      <c r="I6" s="239"/>
      <c r="J6" s="239"/>
      <c r="K6" s="239"/>
      <c r="L6" s="239"/>
      <c r="M6" s="239"/>
      <c r="N6" s="239"/>
    </row>
    <row r="7" spans="1:17" ht="14.4" thickBot="1" x14ac:dyDescent="0.35">
      <c r="A7" s="20"/>
      <c r="B7" s="21"/>
      <c r="C7" s="22"/>
      <c r="D7" s="21"/>
      <c r="E7" s="21"/>
      <c r="F7" s="21"/>
      <c r="G7" s="21"/>
      <c r="H7" s="21"/>
      <c r="I7" s="21"/>
      <c r="J7" s="23"/>
      <c r="K7" s="20"/>
      <c r="L7" s="20"/>
      <c r="M7" s="24"/>
      <c r="N7" s="24"/>
    </row>
    <row r="8" spans="1:17" x14ac:dyDescent="0.25">
      <c r="A8" s="240" t="s">
        <v>14</v>
      </c>
      <c r="B8" s="241"/>
      <c r="C8" s="241"/>
      <c r="D8" s="242"/>
      <c r="E8" s="25" t="s">
        <v>18</v>
      </c>
      <c r="F8" s="25"/>
      <c r="G8" s="26"/>
      <c r="H8" s="27" t="s">
        <v>17</v>
      </c>
      <c r="I8" s="28"/>
      <c r="J8" s="245" t="s">
        <v>21</v>
      </c>
      <c r="K8" s="241"/>
      <c r="L8" s="242"/>
      <c r="M8" s="243" t="s">
        <v>22</v>
      </c>
      <c r="N8" s="244"/>
    </row>
    <row r="9" spans="1:17" x14ac:dyDescent="0.25">
      <c r="A9" s="252" t="s">
        <v>49</v>
      </c>
      <c r="B9" s="253"/>
      <c r="C9" s="253"/>
      <c r="D9" s="253"/>
      <c r="E9" s="257" t="s">
        <v>50</v>
      </c>
      <c r="F9" s="257"/>
      <c r="G9" s="257"/>
      <c r="H9" s="258">
        <v>1</v>
      </c>
      <c r="I9" s="259"/>
      <c r="J9" s="248">
        <v>45566</v>
      </c>
      <c r="K9" s="249"/>
      <c r="L9" s="250"/>
      <c r="M9" s="260">
        <v>45596</v>
      </c>
      <c r="N9" s="261"/>
      <c r="O9" s="7"/>
    </row>
    <row r="10" spans="1:17" x14ac:dyDescent="0.25">
      <c r="A10" s="262" t="s">
        <v>27</v>
      </c>
      <c r="B10" s="263"/>
      <c r="C10" s="263"/>
      <c r="D10" s="264"/>
      <c r="E10" s="29" t="s">
        <v>19</v>
      </c>
      <c r="F10" s="30"/>
      <c r="G10" s="31"/>
      <c r="H10" s="32" t="s">
        <v>20</v>
      </c>
      <c r="I10" s="31"/>
      <c r="J10" s="267" t="s">
        <v>13</v>
      </c>
      <c r="K10" s="268"/>
      <c r="L10" s="268"/>
      <c r="M10" s="268"/>
      <c r="N10" s="269"/>
    </row>
    <row r="11" spans="1:17" ht="13.8" thickBot="1" x14ac:dyDescent="0.3">
      <c r="A11" s="265"/>
      <c r="B11" s="266"/>
      <c r="C11" s="266"/>
      <c r="D11" s="266"/>
      <c r="E11" s="251"/>
      <c r="F11" s="251"/>
      <c r="G11" s="251"/>
      <c r="H11" s="251"/>
      <c r="I11" s="251"/>
      <c r="J11" s="254"/>
      <c r="K11" s="255"/>
      <c r="L11" s="255"/>
      <c r="M11" s="255"/>
      <c r="N11" s="256"/>
    </row>
    <row r="12" spans="1:17" x14ac:dyDescent="0.25">
      <c r="A12" s="193"/>
      <c r="B12" s="193"/>
      <c r="C12" s="193"/>
      <c r="D12" s="193"/>
      <c r="E12" s="193"/>
      <c r="F12" s="193"/>
      <c r="G12" s="193"/>
      <c r="H12" s="193"/>
      <c r="I12" s="193"/>
      <c r="J12" s="193"/>
      <c r="K12" s="193"/>
      <c r="L12" s="193"/>
      <c r="M12" s="193"/>
      <c r="N12" s="193"/>
    </row>
    <row r="13" spans="1:17" s="8" customFormat="1" ht="12" x14ac:dyDescent="0.25">
      <c r="A13" s="274" t="s">
        <v>43</v>
      </c>
      <c r="B13" s="274"/>
      <c r="C13" s="274"/>
      <c r="D13" s="274"/>
      <c r="E13" s="274"/>
      <c r="F13" s="274"/>
      <c r="G13" s="274"/>
      <c r="H13" s="274"/>
      <c r="I13" s="274"/>
      <c r="J13" s="274"/>
      <c r="K13" s="274"/>
      <c r="L13" s="274"/>
      <c r="M13" s="274"/>
      <c r="N13" s="274"/>
      <c r="P13" s="81"/>
      <c r="Q13" s="81"/>
    </row>
    <row r="14" spans="1:17" s="8" customFormat="1" ht="12.6" thickBot="1" x14ac:dyDescent="0.3">
      <c r="A14" s="194"/>
      <c r="B14" s="194"/>
      <c r="C14" s="194"/>
      <c r="D14" s="194"/>
      <c r="E14" s="194"/>
      <c r="F14" s="194"/>
      <c r="G14" s="194"/>
      <c r="H14" s="194"/>
      <c r="I14" s="194"/>
      <c r="J14" s="194"/>
      <c r="K14" s="194"/>
      <c r="L14" s="194"/>
      <c r="M14" s="194"/>
      <c r="N14" s="194"/>
      <c r="P14" s="81"/>
      <c r="Q14" s="81"/>
    </row>
    <row r="15" spans="1:17" ht="22.2" thickBot="1" x14ac:dyDescent="0.35">
      <c r="A15" s="33" t="s">
        <v>0</v>
      </c>
      <c r="B15" s="276" t="s">
        <v>1</v>
      </c>
      <c r="C15" s="276"/>
      <c r="D15" s="276" t="s">
        <v>16</v>
      </c>
      <c r="E15" s="276"/>
      <c r="F15" s="276"/>
      <c r="G15" s="276"/>
      <c r="H15" s="273" t="s">
        <v>4</v>
      </c>
      <c r="I15" s="273"/>
      <c r="J15" s="275" t="s">
        <v>9</v>
      </c>
      <c r="K15" s="275"/>
      <c r="L15" s="34" t="s">
        <v>24</v>
      </c>
      <c r="M15" s="34" t="s">
        <v>25</v>
      </c>
      <c r="N15" s="35" t="s">
        <v>8</v>
      </c>
      <c r="P15" s="59"/>
      <c r="Q15" s="59"/>
    </row>
    <row r="16" spans="1:17" s="5" customFormat="1" ht="13.8" x14ac:dyDescent="0.3">
      <c r="A16" s="36"/>
      <c r="B16" s="37" t="s">
        <v>29</v>
      </c>
      <c r="C16" s="37" t="s">
        <v>30</v>
      </c>
      <c r="D16" s="277" t="s">
        <v>29</v>
      </c>
      <c r="E16" s="277"/>
      <c r="F16" s="277" t="s">
        <v>30</v>
      </c>
      <c r="G16" s="277"/>
      <c r="H16" s="37" t="s">
        <v>31</v>
      </c>
      <c r="I16" s="37" t="s">
        <v>30</v>
      </c>
      <c r="J16" s="38" t="s">
        <v>7</v>
      </c>
      <c r="K16" s="39" t="s">
        <v>6</v>
      </c>
      <c r="L16" s="40" t="s">
        <v>41</v>
      </c>
      <c r="M16" s="40" t="s">
        <v>40</v>
      </c>
      <c r="N16" s="41" t="s">
        <v>42</v>
      </c>
      <c r="P16" s="82"/>
      <c r="Q16" s="82"/>
    </row>
    <row r="17" spans="1:17" ht="13.8" x14ac:dyDescent="0.3">
      <c r="A17" s="185" t="s">
        <v>32</v>
      </c>
      <c r="B17" s="42">
        <v>846</v>
      </c>
      <c r="C17" s="43">
        <v>12690000</v>
      </c>
      <c r="D17" s="192">
        <f>H17-B17</f>
        <v>40</v>
      </c>
      <c r="E17" s="192"/>
      <c r="F17" s="195">
        <f>I17-C17</f>
        <v>600000</v>
      </c>
      <c r="G17" s="195"/>
      <c r="H17" s="44">
        <v>886</v>
      </c>
      <c r="I17" s="44">
        <v>13290000</v>
      </c>
      <c r="J17" s="180">
        <v>7.0000000000000007E-2</v>
      </c>
      <c r="K17" s="83">
        <v>1000</v>
      </c>
      <c r="L17" s="85">
        <f>IF(J17="Varies",0,IF(K17="unit",H17*J17,IF(OR(K17=10,K17=100,K17=1000),J17*I17/K17,"ERROR")))</f>
        <v>930.30000000000007</v>
      </c>
      <c r="M17" s="45"/>
      <c r="N17" s="84">
        <f>SUM(L17+M17)</f>
        <v>930.30000000000007</v>
      </c>
      <c r="P17" s="59"/>
      <c r="Q17" s="59"/>
    </row>
    <row r="18" spans="1:17" ht="13.8" x14ac:dyDescent="0.3">
      <c r="A18" s="185" t="s">
        <v>33</v>
      </c>
      <c r="B18" s="42">
        <v>846</v>
      </c>
      <c r="C18" s="43">
        <v>12690000</v>
      </c>
      <c r="D18" s="192">
        <f>H18-B18</f>
        <v>40</v>
      </c>
      <c r="E18" s="192"/>
      <c r="F18" s="195">
        <f>I18-C18</f>
        <v>600000</v>
      </c>
      <c r="G18" s="195"/>
      <c r="H18" s="44">
        <v>886</v>
      </c>
      <c r="I18" s="44">
        <v>13290000</v>
      </c>
      <c r="J18" s="180">
        <v>2.5999999999999999E-2</v>
      </c>
      <c r="K18" s="83">
        <v>1000</v>
      </c>
      <c r="L18" s="85">
        <f t="shared" ref="L18:L68" si="0">IF(J18="Varies",0,IF(K18="unit",H18*J18,IF(OR(K18=10,K18=100,K18=1000),J18*I18/K18,"ERROR")))</f>
        <v>345.54</v>
      </c>
      <c r="M18" s="45"/>
      <c r="N18" s="84">
        <f t="shared" ref="N18" si="1">SUM(L18+M18)</f>
        <v>345.54</v>
      </c>
      <c r="P18" s="59"/>
      <c r="Q18" s="59"/>
    </row>
    <row r="19" spans="1:17" s="9" customFormat="1" ht="13.8" x14ac:dyDescent="0.3">
      <c r="A19" s="186" t="s">
        <v>125</v>
      </c>
      <c r="B19" s="181"/>
      <c r="C19" s="182"/>
      <c r="D19" s="271"/>
      <c r="E19" s="271"/>
      <c r="F19" s="272"/>
      <c r="G19" s="272"/>
      <c r="H19" s="183"/>
      <c r="I19" s="183"/>
      <c r="J19" s="180"/>
      <c r="K19" s="83"/>
      <c r="L19" s="85"/>
      <c r="M19" s="184"/>
      <c r="N19" s="84"/>
      <c r="P19" s="59"/>
      <c r="Q19" s="59"/>
    </row>
    <row r="20" spans="1:17" s="9" customFormat="1" ht="13.8" x14ac:dyDescent="0.3">
      <c r="A20" s="179" t="s">
        <v>66</v>
      </c>
      <c r="B20" s="42">
        <v>56</v>
      </c>
      <c r="C20" s="43">
        <v>3850000</v>
      </c>
      <c r="D20" s="192">
        <f>H20-B20</f>
        <v>-7</v>
      </c>
      <c r="E20" s="192"/>
      <c r="F20" s="192">
        <f>I20-C20</f>
        <v>-1000000</v>
      </c>
      <c r="G20" s="192"/>
      <c r="H20" s="44">
        <v>49</v>
      </c>
      <c r="I20" s="44">
        <v>2850000</v>
      </c>
      <c r="J20" s="189">
        <v>8.2000000000000003E-2</v>
      </c>
      <c r="K20" s="83">
        <v>1000</v>
      </c>
      <c r="L20" s="85">
        <f t="shared" si="0"/>
        <v>233.7</v>
      </c>
      <c r="M20" s="45"/>
      <c r="N20" s="84">
        <f t="shared" ref="N20:N30" si="2">SUM(L20+M20)</f>
        <v>233.7</v>
      </c>
      <c r="P20" s="59"/>
      <c r="Q20" s="59"/>
    </row>
    <row r="21" spans="1:17" s="9" customFormat="1" ht="13.8" x14ac:dyDescent="0.3">
      <c r="A21" s="179" t="s">
        <v>68</v>
      </c>
      <c r="B21" s="42">
        <v>49</v>
      </c>
      <c r="C21" s="43">
        <v>3250000</v>
      </c>
      <c r="D21" s="192">
        <f t="shared" ref="D21:D29" si="3">H21-B21</f>
        <v>-5</v>
      </c>
      <c r="E21" s="192"/>
      <c r="F21" s="192">
        <f t="shared" ref="F21:F29" si="4">I21-C21</f>
        <v>-170000</v>
      </c>
      <c r="G21" s="192"/>
      <c r="H21" s="44">
        <v>44</v>
      </c>
      <c r="I21" s="44">
        <v>3080000</v>
      </c>
      <c r="J21" s="189">
        <v>0.09</v>
      </c>
      <c r="K21" s="83">
        <v>1000</v>
      </c>
      <c r="L21" s="85">
        <f t="shared" si="0"/>
        <v>277.2</v>
      </c>
      <c r="M21" s="45"/>
      <c r="N21" s="84">
        <f t="shared" si="2"/>
        <v>277.2</v>
      </c>
      <c r="P21" s="59"/>
      <c r="Q21" s="59"/>
    </row>
    <row r="22" spans="1:17" ht="13.8" x14ac:dyDescent="0.3">
      <c r="A22" s="179" t="s">
        <v>70</v>
      </c>
      <c r="B22" s="42">
        <v>47</v>
      </c>
      <c r="C22" s="43">
        <v>3620000</v>
      </c>
      <c r="D22" s="192">
        <f t="shared" si="3"/>
        <v>-6</v>
      </c>
      <c r="E22" s="192"/>
      <c r="F22" s="192">
        <f t="shared" si="4"/>
        <v>-655000</v>
      </c>
      <c r="G22" s="192"/>
      <c r="H22" s="44">
        <v>41</v>
      </c>
      <c r="I22" s="44">
        <v>2965000</v>
      </c>
      <c r="J22" s="189">
        <v>0.126</v>
      </c>
      <c r="K22" s="83">
        <v>1000</v>
      </c>
      <c r="L22" s="85">
        <f t="shared" si="0"/>
        <v>373.59</v>
      </c>
      <c r="M22" s="45"/>
      <c r="N22" s="84">
        <f t="shared" si="2"/>
        <v>373.59</v>
      </c>
    </row>
    <row r="23" spans="1:17" ht="13.8" x14ac:dyDescent="0.3">
      <c r="A23" s="179" t="s">
        <v>72</v>
      </c>
      <c r="B23" s="42">
        <v>38</v>
      </c>
      <c r="C23" s="43">
        <v>3660000</v>
      </c>
      <c r="D23" s="192">
        <f t="shared" si="3"/>
        <v>-4</v>
      </c>
      <c r="E23" s="192"/>
      <c r="F23" s="192">
        <f t="shared" si="4"/>
        <v>-930000</v>
      </c>
      <c r="G23" s="192"/>
      <c r="H23" s="44">
        <v>34</v>
      </c>
      <c r="I23" s="44">
        <v>2730000</v>
      </c>
      <c r="J23" s="189">
        <v>0.21</v>
      </c>
      <c r="K23" s="83">
        <v>1000</v>
      </c>
      <c r="L23" s="85">
        <f t="shared" si="0"/>
        <v>573.29999999999995</v>
      </c>
      <c r="M23" s="45"/>
      <c r="N23" s="84">
        <f t="shared" si="2"/>
        <v>573.29999999999995</v>
      </c>
    </row>
    <row r="24" spans="1:17" s="9" customFormat="1" ht="13.8" x14ac:dyDescent="0.3">
      <c r="A24" s="179" t="s">
        <v>74</v>
      </c>
      <c r="B24" s="42">
        <v>29</v>
      </c>
      <c r="C24" s="43">
        <v>3370000</v>
      </c>
      <c r="D24" s="192">
        <f t="shared" si="3"/>
        <v>-1</v>
      </c>
      <c r="E24" s="192"/>
      <c r="F24" s="192">
        <f t="shared" si="4"/>
        <v>-260000</v>
      </c>
      <c r="G24" s="192"/>
      <c r="H24" s="44">
        <v>28</v>
      </c>
      <c r="I24" s="44">
        <v>3110000</v>
      </c>
      <c r="J24" s="189">
        <v>0.32600000000000001</v>
      </c>
      <c r="K24" s="83">
        <v>1000</v>
      </c>
      <c r="L24" s="85">
        <f t="shared" si="0"/>
        <v>1013.86</v>
      </c>
      <c r="M24" s="45"/>
      <c r="N24" s="84">
        <f t="shared" si="2"/>
        <v>1013.86</v>
      </c>
    </row>
    <row r="25" spans="1:17" s="9" customFormat="1" ht="13.8" x14ac:dyDescent="0.3">
      <c r="A25" s="179" t="s">
        <v>76</v>
      </c>
      <c r="B25" s="42">
        <v>30</v>
      </c>
      <c r="C25" s="43">
        <v>1750000</v>
      </c>
      <c r="D25" s="192">
        <f t="shared" si="3"/>
        <v>-6</v>
      </c>
      <c r="E25" s="192"/>
      <c r="F25" s="192">
        <f t="shared" si="4"/>
        <v>-20000</v>
      </c>
      <c r="G25" s="192"/>
      <c r="H25" s="44">
        <v>24</v>
      </c>
      <c r="I25" s="44">
        <v>1730000</v>
      </c>
      <c r="J25" s="189">
        <v>0.49199999999999999</v>
      </c>
      <c r="K25" s="83">
        <v>1000</v>
      </c>
      <c r="L25" s="85">
        <f t="shared" si="0"/>
        <v>851.16</v>
      </c>
      <c r="M25" s="45"/>
      <c r="N25" s="84">
        <f t="shared" si="2"/>
        <v>851.16</v>
      </c>
    </row>
    <row r="26" spans="1:17" s="9" customFormat="1" ht="13.8" x14ac:dyDescent="0.3">
      <c r="A26" s="179" t="s">
        <v>78</v>
      </c>
      <c r="B26" s="42">
        <v>12</v>
      </c>
      <c r="C26" s="43">
        <v>750000</v>
      </c>
      <c r="D26" s="192">
        <f t="shared" si="3"/>
        <v>2</v>
      </c>
      <c r="E26" s="192"/>
      <c r="F26" s="192">
        <f t="shared" si="4"/>
        <v>-110000</v>
      </c>
      <c r="G26" s="192"/>
      <c r="H26" s="44">
        <v>14</v>
      </c>
      <c r="I26" s="44">
        <v>640000</v>
      </c>
      <c r="J26" s="189">
        <v>0.79</v>
      </c>
      <c r="K26" s="83">
        <v>1000</v>
      </c>
      <c r="L26" s="85">
        <f t="shared" si="0"/>
        <v>505.6</v>
      </c>
      <c r="M26" s="45"/>
      <c r="N26" s="84">
        <f t="shared" si="2"/>
        <v>505.6</v>
      </c>
    </row>
    <row r="27" spans="1:17" s="9" customFormat="1" ht="13.8" x14ac:dyDescent="0.3">
      <c r="A27" s="179" t="s">
        <v>80</v>
      </c>
      <c r="B27" s="42">
        <v>9</v>
      </c>
      <c r="C27" s="43">
        <v>310</v>
      </c>
      <c r="D27" s="192">
        <f t="shared" si="3"/>
        <v>1</v>
      </c>
      <c r="E27" s="192"/>
      <c r="F27" s="192">
        <f t="shared" si="4"/>
        <v>309690</v>
      </c>
      <c r="G27" s="192"/>
      <c r="H27" s="44">
        <v>10</v>
      </c>
      <c r="I27" s="44">
        <v>310000</v>
      </c>
      <c r="J27" s="189">
        <v>1.3160000000000001</v>
      </c>
      <c r="K27" s="83">
        <v>1000</v>
      </c>
      <c r="L27" s="85">
        <f t="shared" si="0"/>
        <v>407.96</v>
      </c>
      <c r="M27" s="45"/>
      <c r="N27" s="84">
        <f t="shared" si="2"/>
        <v>407.96</v>
      </c>
    </row>
    <row r="28" spans="1:17" s="9" customFormat="1" ht="13.8" x14ac:dyDescent="0.3">
      <c r="A28" s="179" t="s">
        <v>82</v>
      </c>
      <c r="B28" s="42">
        <v>0</v>
      </c>
      <c r="C28" s="43">
        <v>0</v>
      </c>
      <c r="D28" s="192">
        <f t="shared" si="3"/>
        <v>2</v>
      </c>
      <c r="E28" s="192"/>
      <c r="F28" s="192">
        <f t="shared" si="4"/>
        <v>210000</v>
      </c>
      <c r="G28" s="192"/>
      <c r="H28" s="44">
        <v>2</v>
      </c>
      <c r="I28" s="44">
        <v>210000</v>
      </c>
      <c r="J28" s="189">
        <v>2.1150000000000002</v>
      </c>
      <c r="K28" s="83">
        <v>1000</v>
      </c>
      <c r="L28" s="85">
        <f t="shared" si="0"/>
        <v>444.15000000000003</v>
      </c>
      <c r="M28" s="45"/>
      <c r="N28" s="84">
        <f t="shared" si="2"/>
        <v>444.15000000000003</v>
      </c>
    </row>
    <row r="29" spans="1:17" ht="13.8" x14ac:dyDescent="0.3">
      <c r="A29" s="179" t="s">
        <v>84</v>
      </c>
      <c r="B29" s="42">
        <v>3</v>
      </c>
      <c r="C29" s="43">
        <v>26500</v>
      </c>
      <c r="D29" s="192">
        <f t="shared" si="3"/>
        <v>0</v>
      </c>
      <c r="E29" s="192"/>
      <c r="F29" s="192">
        <f t="shared" si="4"/>
        <v>0</v>
      </c>
      <c r="G29" s="192"/>
      <c r="H29" s="44">
        <v>3</v>
      </c>
      <c r="I29" s="44">
        <v>26500</v>
      </c>
      <c r="J29" s="189">
        <v>3.456</v>
      </c>
      <c r="K29" s="83">
        <v>1000</v>
      </c>
      <c r="L29" s="85">
        <f t="shared" si="0"/>
        <v>91.584000000000003</v>
      </c>
      <c r="M29" s="45"/>
      <c r="N29" s="84">
        <f t="shared" si="2"/>
        <v>91.584000000000003</v>
      </c>
    </row>
    <row r="30" spans="1:17" ht="13.8" x14ac:dyDescent="0.3">
      <c r="A30" s="187" t="s">
        <v>126</v>
      </c>
      <c r="B30" s="42">
        <v>273</v>
      </c>
      <c r="C30" s="43">
        <v>20586500</v>
      </c>
      <c r="D30" s="192">
        <f t="shared" ref="D30" si="5">H30-B30</f>
        <v>-24</v>
      </c>
      <c r="E30" s="192"/>
      <c r="F30" s="195">
        <f>I30-C30</f>
        <v>-2935000</v>
      </c>
      <c r="G30" s="195"/>
      <c r="H30" s="44">
        <v>249</v>
      </c>
      <c r="I30" s="44">
        <v>17651500</v>
      </c>
      <c r="J30" s="180">
        <v>3.5999999999999997E-2</v>
      </c>
      <c r="K30" s="83">
        <v>1000</v>
      </c>
      <c r="L30" s="85">
        <f>IF(J30="Varies",0,IF(K30="unit",H30*J30,IF(OR(K30=10,K30=100,K30=1000),J30*I30/K30,"ERROR")))</f>
        <v>635.45399999999995</v>
      </c>
      <c r="M30" s="45"/>
      <c r="N30" s="84">
        <f t="shared" si="2"/>
        <v>635.45399999999995</v>
      </c>
    </row>
    <row r="31" spans="1:17" ht="13.5" customHeight="1" x14ac:dyDescent="0.3">
      <c r="A31" s="188" t="s">
        <v>48</v>
      </c>
      <c r="B31" s="181"/>
      <c r="C31" s="182"/>
      <c r="D31" s="271"/>
      <c r="E31" s="271"/>
      <c r="F31" s="272"/>
      <c r="G31" s="272"/>
      <c r="H31" s="183"/>
      <c r="I31" s="183"/>
      <c r="J31" s="180"/>
      <c r="K31" s="83"/>
      <c r="L31" s="85"/>
      <c r="M31" s="184"/>
      <c r="N31" s="84"/>
    </row>
    <row r="32" spans="1:17" ht="19.5" customHeight="1" x14ac:dyDescent="0.3">
      <c r="A32" s="179" t="s">
        <v>66</v>
      </c>
      <c r="B32" s="42">
        <v>3</v>
      </c>
      <c r="C32" s="43">
        <v>80000</v>
      </c>
      <c r="D32" s="192">
        <f t="shared" ref="D32" si="6">H32-B32</f>
        <v>-1</v>
      </c>
      <c r="E32" s="192"/>
      <c r="F32" s="192">
        <f t="shared" ref="F32" si="7">I32-C32</f>
        <v>-50000</v>
      </c>
      <c r="G32" s="192"/>
      <c r="H32" s="44">
        <v>2</v>
      </c>
      <c r="I32" s="44">
        <v>30000</v>
      </c>
      <c r="J32" s="189">
        <v>8.2000000000000003E-2</v>
      </c>
      <c r="K32" s="83">
        <v>1000</v>
      </c>
      <c r="L32" s="85">
        <f t="shared" ref="L32:L44" si="8">IF(J32="Varies",0,IF(K32="unit",H32*J32,IF(OR(K32=10,K32=100,K32=1000),J32*I32/K32,"ERROR")))</f>
        <v>2.46</v>
      </c>
      <c r="M32" s="45"/>
      <c r="N32" s="84">
        <f t="shared" ref="N32:N43" si="9">SUM(L32+M32)</f>
        <v>2.46</v>
      </c>
    </row>
    <row r="33" spans="1:17" ht="19.5" customHeight="1" x14ac:dyDescent="0.3">
      <c r="A33" s="179" t="s">
        <v>68</v>
      </c>
      <c r="B33" s="42">
        <v>3</v>
      </c>
      <c r="C33" s="43">
        <v>85000</v>
      </c>
      <c r="D33" s="192">
        <f t="shared" ref="D33:D43" si="10">H33-B33</f>
        <v>0</v>
      </c>
      <c r="E33" s="192"/>
      <c r="F33" s="192">
        <f t="shared" ref="F33:F43" si="11">I33-C33</f>
        <v>-15000</v>
      </c>
      <c r="G33" s="192"/>
      <c r="H33" s="44">
        <v>3</v>
      </c>
      <c r="I33" s="44">
        <v>70000</v>
      </c>
      <c r="J33" s="189">
        <v>0.09</v>
      </c>
      <c r="K33" s="83">
        <v>1000</v>
      </c>
      <c r="L33" s="85">
        <f t="shared" si="8"/>
        <v>6.3</v>
      </c>
      <c r="M33" s="45"/>
      <c r="N33" s="84">
        <f t="shared" si="9"/>
        <v>6.3</v>
      </c>
      <c r="Q33" s="191"/>
    </row>
    <row r="34" spans="1:17" ht="19.5" customHeight="1" x14ac:dyDescent="0.3">
      <c r="A34" s="179" t="s">
        <v>70</v>
      </c>
      <c r="B34" s="42">
        <v>8</v>
      </c>
      <c r="C34" s="43">
        <v>140000</v>
      </c>
      <c r="D34" s="192">
        <f t="shared" si="10"/>
        <v>1</v>
      </c>
      <c r="E34" s="192"/>
      <c r="F34" s="192">
        <f t="shared" si="11"/>
        <v>50000</v>
      </c>
      <c r="G34" s="192"/>
      <c r="H34" s="44">
        <v>9</v>
      </c>
      <c r="I34" s="44">
        <v>190000</v>
      </c>
      <c r="J34" s="189">
        <v>0.126</v>
      </c>
      <c r="K34" s="83">
        <v>1000</v>
      </c>
      <c r="L34" s="85">
        <f t="shared" si="8"/>
        <v>23.94</v>
      </c>
      <c r="M34" s="45"/>
      <c r="N34" s="84">
        <f t="shared" si="9"/>
        <v>23.94</v>
      </c>
      <c r="P34" s="191"/>
    </row>
    <row r="35" spans="1:17" ht="13.8" x14ac:dyDescent="0.3">
      <c r="A35" s="179" t="s">
        <v>72</v>
      </c>
      <c r="B35" s="42">
        <v>9</v>
      </c>
      <c r="C35" s="43">
        <v>235000</v>
      </c>
      <c r="D35" s="192">
        <f t="shared" si="10"/>
        <v>-3</v>
      </c>
      <c r="E35" s="192"/>
      <c r="F35" s="192">
        <f t="shared" si="11"/>
        <v>-80000</v>
      </c>
      <c r="G35" s="192"/>
      <c r="H35" s="44">
        <v>6</v>
      </c>
      <c r="I35" s="44">
        <v>155000</v>
      </c>
      <c r="J35" s="189">
        <v>0.21</v>
      </c>
      <c r="K35" s="83">
        <v>1000</v>
      </c>
      <c r="L35" s="85">
        <f t="shared" si="8"/>
        <v>32.549999999999997</v>
      </c>
      <c r="M35" s="45"/>
      <c r="N35" s="84">
        <f t="shared" si="9"/>
        <v>32.549999999999997</v>
      </c>
    </row>
    <row r="36" spans="1:17" ht="13.8" x14ac:dyDescent="0.3">
      <c r="A36" s="179" t="s">
        <v>74</v>
      </c>
      <c r="B36" s="42">
        <v>6</v>
      </c>
      <c r="C36" s="43">
        <v>300000</v>
      </c>
      <c r="D36" s="192">
        <f t="shared" si="10"/>
        <v>-1</v>
      </c>
      <c r="E36" s="192"/>
      <c r="F36" s="192">
        <f t="shared" si="11"/>
        <v>-185000</v>
      </c>
      <c r="G36" s="192"/>
      <c r="H36" s="44">
        <v>5</v>
      </c>
      <c r="I36" s="44">
        <v>115000</v>
      </c>
      <c r="J36" s="189">
        <v>0.32600000000000001</v>
      </c>
      <c r="K36" s="83">
        <v>1000</v>
      </c>
      <c r="L36" s="85">
        <f t="shared" si="8"/>
        <v>37.49</v>
      </c>
      <c r="M36" s="45"/>
      <c r="N36" s="84">
        <f t="shared" si="9"/>
        <v>37.49</v>
      </c>
    </row>
    <row r="37" spans="1:17" ht="13.8" x14ac:dyDescent="0.3">
      <c r="A37" s="179" t="s">
        <v>76</v>
      </c>
      <c r="B37" s="42">
        <v>11</v>
      </c>
      <c r="C37" s="43">
        <v>240000</v>
      </c>
      <c r="D37" s="192">
        <f t="shared" si="10"/>
        <v>-3</v>
      </c>
      <c r="E37" s="192"/>
      <c r="F37" s="192">
        <f t="shared" si="11"/>
        <v>-50000</v>
      </c>
      <c r="G37" s="192"/>
      <c r="H37" s="44">
        <v>8</v>
      </c>
      <c r="I37" s="44">
        <v>190000</v>
      </c>
      <c r="J37" s="189">
        <v>0.49199999999999999</v>
      </c>
      <c r="K37" s="83">
        <v>1000</v>
      </c>
      <c r="L37" s="85">
        <f t="shared" si="8"/>
        <v>93.48</v>
      </c>
      <c r="M37" s="45"/>
      <c r="N37" s="84">
        <f t="shared" si="9"/>
        <v>93.48</v>
      </c>
    </row>
    <row r="38" spans="1:17" ht="13.8" x14ac:dyDescent="0.3">
      <c r="A38" s="179" t="s">
        <v>78</v>
      </c>
      <c r="B38" s="42">
        <v>7</v>
      </c>
      <c r="C38" s="43">
        <v>125000</v>
      </c>
      <c r="D38" s="192">
        <f t="shared" si="10"/>
        <v>-1</v>
      </c>
      <c r="E38" s="192"/>
      <c r="F38" s="192">
        <f t="shared" si="11"/>
        <v>-10000</v>
      </c>
      <c r="G38" s="192"/>
      <c r="H38" s="44">
        <v>6</v>
      </c>
      <c r="I38" s="44">
        <v>115000</v>
      </c>
      <c r="J38" s="189">
        <v>0.79</v>
      </c>
      <c r="K38" s="83">
        <v>1000</v>
      </c>
      <c r="L38" s="85">
        <f t="shared" si="8"/>
        <v>90.85</v>
      </c>
      <c r="M38" s="45"/>
      <c r="N38" s="84">
        <f t="shared" si="9"/>
        <v>90.85</v>
      </c>
    </row>
    <row r="39" spans="1:17" ht="13.8" x14ac:dyDescent="0.3">
      <c r="A39" s="179" t="s">
        <v>80</v>
      </c>
      <c r="B39" s="42">
        <v>2</v>
      </c>
      <c r="C39" s="43">
        <v>40000</v>
      </c>
      <c r="D39" s="192">
        <f t="shared" si="10"/>
        <v>0</v>
      </c>
      <c r="E39" s="192"/>
      <c r="F39" s="192">
        <f t="shared" si="11"/>
        <v>0</v>
      </c>
      <c r="G39" s="192"/>
      <c r="H39" s="44">
        <v>2</v>
      </c>
      <c r="I39" s="44">
        <v>40000</v>
      </c>
      <c r="J39" s="189">
        <v>1.3160000000000001</v>
      </c>
      <c r="K39" s="83">
        <v>1000</v>
      </c>
      <c r="L39" s="85">
        <f t="shared" si="8"/>
        <v>52.64</v>
      </c>
      <c r="M39" s="45"/>
      <c r="N39" s="84">
        <f t="shared" si="9"/>
        <v>52.64</v>
      </c>
    </row>
    <row r="40" spans="1:17" ht="13.8" x14ac:dyDescent="0.3">
      <c r="A40" s="179" t="s">
        <v>82</v>
      </c>
      <c r="B40" s="42">
        <v>1</v>
      </c>
      <c r="C40" s="43">
        <v>5000</v>
      </c>
      <c r="D40" s="192">
        <f t="shared" si="10"/>
        <v>1</v>
      </c>
      <c r="E40" s="192"/>
      <c r="F40" s="192">
        <f t="shared" si="11"/>
        <v>20000</v>
      </c>
      <c r="G40" s="192"/>
      <c r="H40" s="44">
        <v>2</v>
      </c>
      <c r="I40" s="44">
        <v>25000</v>
      </c>
      <c r="J40" s="189">
        <v>2.1150000000000002</v>
      </c>
      <c r="K40" s="83">
        <v>1000</v>
      </c>
      <c r="L40" s="85">
        <f t="shared" si="8"/>
        <v>52.875000000000007</v>
      </c>
      <c r="M40" s="45"/>
      <c r="N40" s="84">
        <f t="shared" si="9"/>
        <v>52.875000000000007</v>
      </c>
    </row>
    <row r="41" spans="1:17" ht="13.8" x14ac:dyDescent="0.3">
      <c r="A41" s="179" t="s">
        <v>84</v>
      </c>
      <c r="B41" s="42">
        <v>0</v>
      </c>
      <c r="C41" s="43">
        <v>0</v>
      </c>
      <c r="D41" s="192">
        <f t="shared" si="10"/>
        <v>0</v>
      </c>
      <c r="E41" s="192"/>
      <c r="F41" s="192">
        <f t="shared" si="11"/>
        <v>0</v>
      </c>
      <c r="G41" s="192"/>
      <c r="H41" s="44">
        <v>0</v>
      </c>
      <c r="I41" s="44">
        <v>0</v>
      </c>
      <c r="J41" s="189">
        <v>3.456</v>
      </c>
      <c r="K41" s="83">
        <v>1000</v>
      </c>
      <c r="L41" s="85">
        <f t="shared" si="8"/>
        <v>0</v>
      </c>
      <c r="M41" s="45"/>
      <c r="N41" s="84">
        <f t="shared" si="9"/>
        <v>0</v>
      </c>
    </row>
    <row r="42" spans="1:17" ht="13.8" x14ac:dyDescent="0.3">
      <c r="A42" s="185" t="s">
        <v>127</v>
      </c>
      <c r="B42" s="42">
        <v>50</v>
      </c>
      <c r="C42" s="43">
        <v>1250000</v>
      </c>
      <c r="D42" s="192">
        <f t="shared" si="10"/>
        <v>4</v>
      </c>
      <c r="E42" s="192"/>
      <c r="F42" s="195">
        <f t="shared" si="11"/>
        <v>0</v>
      </c>
      <c r="G42" s="195"/>
      <c r="H42" s="44">
        <v>54</v>
      </c>
      <c r="I42" s="44">
        <v>1250000</v>
      </c>
      <c r="J42" s="180">
        <v>3.5999999999999997E-2</v>
      </c>
      <c r="K42" s="83">
        <v>1000</v>
      </c>
      <c r="L42" s="85">
        <f t="shared" si="8"/>
        <v>45</v>
      </c>
      <c r="M42" s="45"/>
      <c r="N42" s="84">
        <f t="shared" si="9"/>
        <v>45</v>
      </c>
    </row>
    <row r="43" spans="1:17" ht="13.8" x14ac:dyDescent="0.3">
      <c r="A43" s="187" t="s">
        <v>128</v>
      </c>
      <c r="B43" s="42">
        <v>118</v>
      </c>
      <c r="C43" s="43">
        <v>980000</v>
      </c>
      <c r="D43" s="192">
        <f t="shared" si="10"/>
        <v>-29</v>
      </c>
      <c r="E43" s="192"/>
      <c r="F43" s="195">
        <f t="shared" si="11"/>
        <v>-217500</v>
      </c>
      <c r="G43" s="195"/>
      <c r="H43" s="44">
        <v>89</v>
      </c>
      <c r="I43" s="44">
        <v>762500</v>
      </c>
      <c r="J43" s="180">
        <v>0.2</v>
      </c>
      <c r="K43" s="83">
        <v>1000</v>
      </c>
      <c r="L43" s="85">
        <f t="shared" si="8"/>
        <v>152.5</v>
      </c>
      <c r="M43" s="45"/>
      <c r="N43" s="84">
        <f t="shared" si="9"/>
        <v>152.5</v>
      </c>
    </row>
    <row r="44" spans="1:17" ht="15.9" customHeight="1" x14ac:dyDescent="0.3">
      <c r="A44" s="185" t="s">
        <v>34</v>
      </c>
      <c r="B44" s="42">
        <v>327</v>
      </c>
      <c r="C44" s="43">
        <v>153460</v>
      </c>
      <c r="D44" s="230">
        <f>H44-B44</f>
        <v>-23</v>
      </c>
      <c r="E44" s="231"/>
      <c r="F44" s="228">
        <f>I44-C44</f>
        <v>-10691.735384615371</v>
      </c>
      <c r="G44" s="229"/>
      <c r="H44" s="44">
        <v>304</v>
      </c>
      <c r="I44" s="44">
        <v>142768.26461538463</v>
      </c>
      <c r="J44" s="180">
        <v>0.51</v>
      </c>
      <c r="K44" s="83">
        <v>10</v>
      </c>
      <c r="L44" s="85">
        <f t="shared" si="8"/>
        <v>7281.181495384616</v>
      </c>
      <c r="M44" s="45"/>
      <c r="N44" s="84">
        <f t="shared" ref="N44:N67" si="12">SUM(L44+M44)</f>
        <v>7281.181495384616</v>
      </c>
      <c r="O44" s="191"/>
    </row>
    <row r="45" spans="1:17" ht="13.8" x14ac:dyDescent="0.3">
      <c r="A45" s="188" t="s">
        <v>129</v>
      </c>
      <c r="B45" s="181"/>
      <c r="C45" s="182"/>
      <c r="D45" s="233"/>
      <c r="E45" s="234"/>
      <c r="F45" s="235"/>
      <c r="G45" s="236"/>
      <c r="H45" s="183"/>
      <c r="I45" s="183"/>
      <c r="J45" s="180"/>
      <c r="K45" s="83"/>
      <c r="L45" s="85"/>
      <c r="M45" s="184"/>
      <c r="N45" s="84"/>
      <c r="O45" s="191"/>
    </row>
    <row r="46" spans="1:17" ht="13.8" x14ac:dyDescent="0.3">
      <c r="A46" s="179" t="s">
        <v>124</v>
      </c>
      <c r="B46" s="42">
        <v>65</v>
      </c>
      <c r="C46" s="43">
        <v>189824.27</v>
      </c>
      <c r="D46" s="192">
        <f>H46-B46</f>
        <v>-1</v>
      </c>
      <c r="E46" s="192"/>
      <c r="F46" s="192">
        <f>I46-C46</f>
        <v>953.3300000000163</v>
      </c>
      <c r="G46" s="192"/>
      <c r="H46" s="44">
        <v>64</v>
      </c>
      <c r="I46" s="44">
        <v>190777.60000000001</v>
      </c>
      <c r="J46" s="189">
        <v>0.26100000000000001</v>
      </c>
      <c r="K46" s="83">
        <v>100</v>
      </c>
      <c r="L46" s="85">
        <f t="shared" ref="L46:L53" si="13">IF(J46="Varies",0,IF(K46="unit",H46*J46,IF(OR(K46=10,K46=100,K46=1000),J46*I46/K46,"ERROR")))</f>
        <v>497.92953599999998</v>
      </c>
      <c r="M46" s="45"/>
      <c r="N46" s="84">
        <f t="shared" si="12"/>
        <v>497.92953599999998</v>
      </c>
    </row>
    <row r="47" spans="1:17" ht="13.8" x14ac:dyDescent="0.3">
      <c r="A47" s="179" t="s">
        <v>68</v>
      </c>
      <c r="B47" s="42">
        <v>48</v>
      </c>
      <c r="C47" s="43">
        <v>149000.79999999999</v>
      </c>
      <c r="D47" s="192">
        <f t="shared" ref="D47:D53" si="14">H47-B47</f>
        <v>0</v>
      </c>
      <c r="E47" s="192"/>
      <c r="F47" s="192">
        <f t="shared" ref="F47:F53" si="15">I47-C47</f>
        <v>2599.9999999999709</v>
      </c>
      <c r="G47" s="192"/>
      <c r="H47" s="44">
        <v>48</v>
      </c>
      <c r="I47" s="44">
        <v>151600.79999999996</v>
      </c>
      <c r="J47" s="189">
        <v>0.36</v>
      </c>
      <c r="K47" s="83">
        <v>100</v>
      </c>
      <c r="L47" s="85">
        <f t="shared" si="13"/>
        <v>545.76287999999988</v>
      </c>
      <c r="M47" s="45"/>
      <c r="N47" s="84">
        <f t="shared" si="12"/>
        <v>545.76287999999988</v>
      </c>
    </row>
    <row r="48" spans="1:17" ht="13.8" x14ac:dyDescent="0.3">
      <c r="A48" s="179" t="s">
        <v>70</v>
      </c>
      <c r="B48" s="42">
        <v>34</v>
      </c>
      <c r="C48" s="43">
        <v>115440.27</v>
      </c>
      <c r="D48" s="192">
        <f t="shared" si="14"/>
        <v>2</v>
      </c>
      <c r="E48" s="192"/>
      <c r="F48" s="192">
        <f t="shared" si="15"/>
        <v>8336.6633333333302</v>
      </c>
      <c r="G48" s="192"/>
      <c r="H48" s="44">
        <v>36</v>
      </c>
      <c r="I48" s="44">
        <v>123776.93333333333</v>
      </c>
      <c r="J48" s="189">
        <v>0.42299999999999999</v>
      </c>
      <c r="K48" s="83">
        <v>100</v>
      </c>
      <c r="L48" s="85">
        <f t="shared" si="13"/>
        <v>523.57642799999996</v>
      </c>
      <c r="M48" s="45"/>
      <c r="N48" s="84">
        <f t="shared" si="12"/>
        <v>523.57642799999996</v>
      </c>
    </row>
    <row r="49" spans="1:16" ht="13.8" x14ac:dyDescent="0.3">
      <c r="A49" s="179" t="s">
        <v>72</v>
      </c>
      <c r="B49" s="42">
        <v>34</v>
      </c>
      <c r="C49" s="43">
        <v>123074.67</v>
      </c>
      <c r="D49" s="192">
        <f t="shared" si="14"/>
        <v>1</v>
      </c>
      <c r="E49" s="192"/>
      <c r="F49" s="192">
        <f t="shared" si="15"/>
        <v>3069.9966666666878</v>
      </c>
      <c r="G49" s="192"/>
      <c r="H49" s="44">
        <v>35</v>
      </c>
      <c r="I49" s="44">
        <v>126144.66666666669</v>
      </c>
      <c r="J49" s="189">
        <v>0.55800000000000005</v>
      </c>
      <c r="K49" s="83">
        <v>100</v>
      </c>
      <c r="L49" s="85">
        <f t="shared" si="13"/>
        <v>703.88724000000013</v>
      </c>
      <c r="M49" s="45"/>
      <c r="N49" s="84">
        <f t="shared" si="12"/>
        <v>703.88724000000013</v>
      </c>
    </row>
    <row r="50" spans="1:16" ht="13.8" x14ac:dyDescent="0.3">
      <c r="A50" s="179" t="s">
        <v>74</v>
      </c>
      <c r="B50" s="42">
        <v>26</v>
      </c>
      <c r="C50" s="43">
        <v>102459.2</v>
      </c>
      <c r="D50" s="192">
        <f t="shared" si="14"/>
        <v>2</v>
      </c>
      <c r="E50" s="192"/>
      <c r="F50" s="192">
        <f t="shared" si="15"/>
        <v>7714.6666666666861</v>
      </c>
      <c r="G50" s="192"/>
      <c r="H50" s="44">
        <v>28</v>
      </c>
      <c r="I50" s="44">
        <v>110173.86666666668</v>
      </c>
      <c r="J50" s="189">
        <v>0.93600000000000005</v>
      </c>
      <c r="K50" s="83">
        <v>100</v>
      </c>
      <c r="L50" s="85">
        <f t="shared" si="13"/>
        <v>1031.2273920000002</v>
      </c>
      <c r="M50" s="45"/>
      <c r="N50" s="84">
        <f t="shared" si="12"/>
        <v>1031.2273920000002</v>
      </c>
    </row>
    <row r="51" spans="1:16" ht="13.8" x14ac:dyDescent="0.3">
      <c r="A51" s="179" t="s">
        <v>76</v>
      </c>
      <c r="B51" s="42">
        <v>22</v>
      </c>
      <c r="C51" s="43">
        <v>81520.67</v>
      </c>
      <c r="D51" s="192">
        <f t="shared" si="14"/>
        <v>-2</v>
      </c>
      <c r="E51" s="192"/>
      <c r="F51" s="192">
        <f t="shared" si="15"/>
        <v>-5260.6699999999837</v>
      </c>
      <c r="G51" s="192"/>
      <c r="H51" s="44">
        <v>20</v>
      </c>
      <c r="I51" s="44">
        <v>76260.000000000015</v>
      </c>
      <c r="J51" s="189">
        <v>1.7010000000000001</v>
      </c>
      <c r="K51" s="83">
        <v>100</v>
      </c>
      <c r="L51" s="85">
        <f t="shared" si="13"/>
        <v>1297.1826000000003</v>
      </c>
      <c r="M51" s="45"/>
      <c r="N51" s="84">
        <f t="shared" si="12"/>
        <v>1297.1826000000003</v>
      </c>
    </row>
    <row r="52" spans="1:16" ht="13.8" x14ac:dyDescent="0.3">
      <c r="A52" s="179" t="s">
        <v>78</v>
      </c>
      <c r="B52" s="42">
        <v>11</v>
      </c>
      <c r="C52" s="43">
        <v>38849.199999999997</v>
      </c>
      <c r="D52" s="192">
        <f t="shared" si="14"/>
        <v>0</v>
      </c>
      <c r="E52" s="192"/>
      <c r="F52" s="192">
        <f t="shared" si="15"/>
        <v>0</v>
      </c>
      <c r="G52" s="192"/>
      <c r="H52" s="44">
        <v>11</v>
      </c>
      <c r="I52" s="44">
        <v>38849.199999999997</v>
      </c>
      <c r="J52" s="189">
        <v>2.4390000000000001</v>
      </c>
      <c r="K52" s="83">
        <v>100</v>
      </c>
      <c r="L52" s="85">
        <f t="shared" si="13"/>
        <v>947.53198799999996</v>
      </c>
      <c r="M52" s="45"/>
      <c r="N52" s="84">
        <f t="shared" si="12"/>
        <v>947.53198799999996</v>
      </c>
    </row>
    <row r="53" spans="1:16" ht="13.8" x14ac:dyDescent="0.3">
      <c r="A53" s="179" t="s">
        <v>101</v>
      </c>
      <c r="B53" s="42">
        <v>7</v>
      </c>
      <c r="C53" s="43">
        <v>29203.33</v>
      </c>
      <c r="D53" s="192">
        <f t="shared" si="14"/>
        <v>0</v>
      </c>
      <c r="E53" s="192"/>
      <c r="F53" s="192">
        <f t="shared" si="15"/>
        <v>3.3333333267364651E-3</v>
      </c>
      <c r="G53" s="192"/>
      <c r="H53" s="44">
        <v>7</v>
      </c>
      <c r="I53" s="44">
        <v>29203.333333333328</v>
      </c>
      <c r="J53" s="189">
        <v>2.7269999999999999</v>
      </c>
      <c r="K53" s="83">
        <v>100</v>
      </c>
      <c r="L53" s="85">
        <f t="shared" si="13"/>
        <v>796.3748999999998</v>
      </c>
      <c r="M53" s="45"/>
      <c r="N53" s="84">
        <f t="shared" si="12"/>
        <v>796.3748999999998</v>
      </c>
    </row>
    <row r="54" spans="1:16" ht="13.8" x14ac:dyDescent="0.3">
      <c r="A54" s="188" t="s">
        <v>36</v>
      </c>
      <c r="B54" s="181"/>
      <c r="C54" s="182"/>
      <c r="D54" s="271"/>
      <c r="E54" s="271"/>
      <c r="F54" s="272"/>
      <c r="G54" s="272"/>
      <c r="H54" s="183"/>
      <c r="I54" s="183"/>
      <c r="J54" s="189"/>
      <c r="K54" s="83"/>
      <c r="L54" s="85"/>
      <c r="M54" s="184"/>
      <c r="N54" s="84"/>
    </row>
    <row r="55" spans="1:16" ht="13.8" x14ac:dyDescent="0.3">
      <c r="A55" s="179" t="s">
        <v>66</v>
      </c>
      <c r="B55" s="42">
        <v>69</v>
      </c>
      <c r="C55" s="43">
        <v>710000</v>
      </c>
      <c r="D55" s="192">
        <f>H55-B55</f>
        <v>-6</v>
      </c>
      <c r="E55" s="192"/>
      <c r="F55" s="192">
        <f>I55-C55</f>
        <v>-62000</v>
      </c>
      <c r="G55" s="192"/>
      <c r="H55" s="44">
        <v>63</v>
      </c>
      <c r="I55" s="44">
        <v>648000</v>
      </c>
      <c r="J55" s="189">
        <v>0.39</v>
      </c>
      <c r="K55" s="83">
        <v>1000</v>
      </c>
      <c r="L55" s="85">
        <f t="shared" ref="L55:L60" si="16">IF(J55="Varies",0,IF(K55="unit",H55*J55,IF(OR(K55=10,K55=100,K55=1000),J55*I55/K55,"ERROR")))</f>
        <v>252.72</v>
      </c>
      <c r="M55" s="45"/>
      <c r="N55" s="84">
        <f t="shared" si="12"/>
        <v>252.72</v>
      </c>
    </row>
    <row r="56" spans="1:16" ht="13.8" x14ac:dyDescent="0.3">
      <c r="A56" s="179" t="s">
        <v>105</v>
      </c>
      <c r="B56" s="42">
        <v>82</v>
      </c>
      <c r="C56" s="43">
        <v>900000</v>
      </c>
      <c r="D56" s="192">
        <f t="shared" ref="D56:D60" si="17">H56-B56</f>
        <v>-1</v>
      </c>
      <c r="E56" s="192"/>
      <c r="F56" s="192">
        <f t="shared" ref="F56:F60" si="18">I56-C56</f>
        <v>20000</v>
      </c>
      <c r="G56" s="192"/>
      <c r="H56" s="44">
        <v>81</v>
      </c>
      <c r="I56" s="44">
        <v>920000</v>
      </c>
      <c r="J56" s="189">
        <v>0.55200000000000005</v>
      </c>
      <c r="K56" s="83">
        <v>1000</v>
      </c>
      <c r="L56" s="85">
        <f t="shared" si="16"/>
        <v>507.84000000000003</v>
      </c>
      <c r="M56" s="45"/>
      <c r="N56" s="84">
        <f t="shared" si="12"/>
        <v>507.84000000000003</v>
      </c>
      <c r="P56" s="191"/>
    </row>
    <row r="57" spans="1:16" ht="13.8" x14ac:dyDescent="0.3">
      <c r="A57" s="179" t="s">
        <v>107</v>
      </c>
      <c r="B57" s="42">
        <v>61</v>
      </c>
      <c r="C57" s="43">
        <v>765000</v>
      </c>
      <c r="D57" s="192">
        <f t="shared" si="17"/>
        <v>-3</v>
      </c>
      <c r="E57" s="192"/>
      <c r="F57" s="192">
        <f t="shared" si="18"/>
        <v>-95000</v>
      </c>
      <c r="G57" s="192"/>
      <c r="H57" s="44">
        <v>58</v>
      </c>
      <c r="I57" s="44">
        <v>670000</v>
      </c>
      <c r="J57" s="189">
        <v>1.135</v>
      </c>
      <c r="K57" s="83">
        <v>1000</v>
      </c>
      <c r="L57" s="85">
        <f t="shared" si="16"/>
        <v>760.45</v>
      </c>
      <c r="M57" s="45"/>
      <c r="N57" s="84">
        <f t="shared" si="12"/>
        <v>760.45</v>
      </c>
    </row>
    <row r="58" spans="1:16" ht="13.8" x14ac:dyDescent="0.3">
      <c r="A58" s="179" t="s">
        <v>109</v>
      </c>
      <c r="B58" s="42">
        <v>32</v>
      </c>
      <c r="C58" s="43">
        <v>325000</v>
      </c>
      <c r="D58" s="192" t="s">
        <v>131</v>
      </c>
      <c r="E58" s="192"/>
      <c r="F58" s="192">
        <f t="shared" si="18"/>
        <v>-50000</v>
      </c>
      <c r="G58" s="192"/>
      <c r="H58" s="44">
        <v>27</v>
      </c>
      <c r="I58" s="44">
        <v>275000</v>
      </c>
      <c r="J58" s="189">
        <v>2.3079999999999998</v>
      </c>
      <c r="K58" s="83">
        <v>1000</v>
      </c>
      <c r="L58" s="85">
        <f t="shared" si="16"/>
        <v>634.70000000000005</v>
      </c>
      <c r="M58" s="45"/>
      <c r="N58" s="84">
        <f t="shared" si="12"/>
        <v>634.70000000000005</v>
      </c>
    </row>
    <row r="59" spans="1:16" ht="13.8" x14ac:dyDescent="0.3">
      <c r="A59" s="179" t="s">
        <v>80</v>
      </c>
      <c r="B59" s="42">
        <v>9</v>
      </c>
      <c r="C59" s="43">
        <v>80000</v>
      </c>
      <c r="D59" s="192">
        <f t="shared" si="17"/>
        <v>1</v>
      </c>
      <c r="E59" s="192"/>
      <c r="F59" s="192">
        <f t="shared" si="18"/>
        <v>5000</v>
      </c>
      <c r="G59" s="192"/>
      <c r="H59" s="44">
        <v>10</v>
      </c>
      <c r="I59" s="44">
        <v>85000</v>
      </c>
      <c r="J59" s="189">
        <v>3.6309999999999998</v>
      </c>
      <c r="K59" s="83">
        <v>1000</v>
      </c>
      <c r="L59" s="85">
        <f t="shared" si="16"/>
        <v>308.63499999999999</v>
      </c>
      <c r="M59" s="45"/>
      <c r="N59" s="84">
        <f t="shared" si="12"/>
        <v>308.63499999999999</v>
      </c>
    </row>
    <row r="60" spans="1:16" ht="13.8" x14ac:dyDescent="0.3">
      <c r="A60" s="179" t="s">
        <v>112</v>
      </c>
      <c r="B60" s="42">
        <v>2</v>
      </c>
      <c r="C60" s="43">
        <v>10000</v>
      </c>
      <c r="D60" s="192">
        <f t="shared" si="17"/>
        <v>0</v>
      </c>
      <c r="E60" s="192"/>
      <c r="F60" s="192">
        <f t="shared" si="18"/>
        <v>0</v>
      </c>
      <c r="G60" s="192"/>
      <c r="H60" s="44">
        <v>2</v>
      </c>
      <c r="I60" s="44">
        <v>10000</v>
      </c>
      <c r="J60" s="189">
        <v>6.0289999999999999</v>
      </c>
      <c r="K60" s="83">
        <v>1000</v>
      </c>
      <c r="L60" s="85">
        <f t="shared" si="16"/>
        <v>60.29</v>
      </c>
      <c r="M60" s="45"/>
      <c r="N60" s="84">
        <f t="shared" si="12"/>
        <v>60.29</v>
      </c>
    </row>
    <row r="61" spans="1:16" ht="13.8" x14ac:dyDescent="0.3">
      <c r="A61" s="188" t="s">
        <v>37</v>
      </c>
      <c r="B61" s="181"/>
      <c r="C61" s="182"/>
      <c r="D61" s="271"/>
      <c r="E61" s="271"/>
      <c r="F61" s="271"/>
      <c r="G61" s="271"/>
      <c r="H61" s="183"/>
      <c r="I61" s="183"/>
      <c r="J61" s="180"/>
      <c r="K61" s="83"/>
      <c r="L61" s="85"/>
      <c r="M61" s="184"/>
      <c r="N61" s="84"/>
    </row>
    <row r="62" spans="1:16" ht="13.8" x14ac:dyDescent="0.3">
      <c r="A62" s="179" t="s">
        <v>66</v>
      </c>
      <c r="B62" s="42">
        <v>4</v>
      </c>
      <c r="C62" s="43">
        <v>35000</v>
      </c>
      <c r="D62" s="192">
        <f>H62-B62</f>
        <v>-2</v>
      </c>
      <c r="E62" s="192"/>
      <c r="F62" s="192">
        <f>I62-C62</f>
        <v>-20000</v>
      </c>
      <c r="G62" s="192"/>
      <c r="H62" s="44">
        <v>2</v>
      </c>
      <c r="I62" s="44">
        <v>15000</v>
      </c>
      <c r="J62" s="189">
        <v>0.17399999999999999</v>
      </c>
      <c r="K62" s="83">
        <v>1000</v>
      </c>
      <c r="L62" s="85">
        <f t="shared" ref="L62:L67" si="19">IF(J62="Varies",0,IF(K62="unit",H62*J62,IF(OR(K62=10,K62=100,K62=1000),J62*I62/K62,"ERROR")))</f>
        <v>2.61</v>
      </c>
      <c r="M62" s="45"/>
      <c r="N62" s="84">
        <f t="shared" si="12"/>
        <v>2.61</v>
      </c>
    </row>
    <row r="63" spans="1:16" ht="13.8" x14ac:dyDescent="0.3">
      <c r="A63" s="179" t="s">
        <v>105</v>
      </c>
      <c r="B63" s="42">
        <v>12</v>
      </c>
      <c r="C63" s="43">
        <v>112500</v>
      </c>
      <c r="D63" s="192">
        <f t="shared" ref="D63:D67" si="20">H63-B63</f>
        <v>-4</v>
      </c>
      <c r="E63" s="192"/>
      <c r="F63" s="192">
        <f t="shared" ref="F63:F68" si="21">I63-C63</f>
        <v>-40000</v>
      </c>
      <c r="G63" s="192"/>
      <c r="H63" s="44">
        <v>8</v>
      </c>
      <c r="I63" s="44">
        <v>72500</v>
      </c>
      <c r="J63" s="189">
        <v>0.32500000000000001</v>
      </c>
      <c r="K63" s="83">
        <v>1000</v>
      </c>
      <c r="L63" s="85">
        <f t="shared" si="19"/>
        <v>23.5625</v>
      </c>
      <c r="M63" s="45"/>
      <c r="N63" s="84">
        <f t="shared" si="12"/>
        <v>23.5625</v>
      </c>
    </row>
    <row r="64" spans="1:16" ht="13.8" x14ac:dyDescent="0.3">
      <c r="A64" s="179" t="s">
        <v>107</v>
      </c>
      <c r="B64" s="42">
        <v>20</v>
      </c>
      <c r="C64" s="43">
        <v>165000</v>
      </c>
      <c r="D64" s="192">
        <f t="shared" si="20"/>
        <v>-12</v>
      </c>
      <c r="E64" s="192"/>
      <c r="F64" s="192">
        <f t="shared" si="21"/>
        <v>-100000</v>
      </c>
      <c r="G64" s="192"/>
      <c r="H64" s="44">
        <v>8</v>
      </c>
      <c r="I64" s="44">
        <v>65000</v>
      </c>
      <c r="J64" s="189">
        <v>0.878</v>
      </c>
      <c r="K64" s="83">
        <v>1000</v>
      </c>
      <c r="L64" s="85">
        <f t="shared" si="19"/>
        <v>57.07</v>
      </c>
      <c r="M64" s="45"/>
      <c r="N64" s="84">
        <f t="shared" si="12"/>
        <v>57.07</v>
      </c>
    </row>
    <row r="65" spans="1:14" ht="13.8" x14ac:dyDescent="0.3">
      <c r="A65" s="179" t="s">
        <v>109</v>
      </c>
      <c r="B65" s="42">
        <v>17</v>
      </c>
      <c r="C65" s="43">
        <v>127500</v>
      </c>
      <c r="D65" s="192">
        <f t="shared" si="20"/>
        <v>-9</v>
      </c>
      <c r="E65" s="192"/>
      <c r="F65" s="192">
        <f t="shared" si="21"/>
        <v>-67500</v>
      </c>
      <c r="G65" s="192"/>
      <c r="H65" s="44">
        <v>8</v>
      </c>
      <c r="I65" s="44">
        <v>60000</v>
      </c>
      <c r="J65" s="189">
        <v>2.0329999999999999</v>
      </c>
      <c r="K65" s="83">
        <v>1000</v>
      </c>
      <c r="L65" s="85">
        <f t="shared" si="19"/>
        <v>121.98</v>
      </c>
      <c r="M65" s="45"/>
      <c r="N65" s="84">
        <f t="shared" si="12"/>
        <v>121.98</v>
      </c>
    </row>
    <row r="66" spans="1:14" ht="13.8" x14ac:dyDescent="0.3">
      <c r="A66" s="179" t="s">
        <v>80</v>
      </c>
      <c r="B66" s="42">
        <v>2</v>
      </c>
      <c r="C66" s="43">
        <v>12500</v>
      </c>
      <c r="D66" s="192">
        <f t="shared" si="20"/>
        <v>-1</v>
      </c>
      <c r="E66" s="192"/>
      <c r="F66" s="192">
        <f t="shared" si="21"/>
        <v>-10000</v>
      </c>
      <c r="G66" s="192"/>
      <c r="H66" s="44">
        <v>1</v>
      </c>
      <c r="I66" s="44">
        <v>2500</v>
      </c>
      <c r="J66" s="189">
        <v>3.3519999999999999</v>
      </c>
      <c r="K66" s="83">
        <v>1000</v>
      </c>
      <c r="L66" s="85">
        <f t="shared" si="19"/>
        <v>8.3800000000000008</v>
      </c>
      <c r="M66" s="45"/>
      <c r="N66" s="84">
        <f t="shared" si="12"/>
        <v>8.3800000000000008</v>
      </c>
    </row>
    <row r="67" spans="1:14" ht="13.8" x14ac:dyDescent="0.3">
      <c r="A67" s="179" t="s">
        <v>112</v>
      </c>
      <c r="B67" s="42">
        <v>2</v>
      </c>
      <c r="C67" s="43">
        <v>7500</v>
      </c>
      <c r="D67" s="192">
        <f t="shared" si="20"/>
        <v>0</v>
      </c>
      <c r="E67" s="192"/>
      <c r="F67" s="192">
        <f t="shared" si="21"/>
        <v>0</v>
      </c>
      <c r="G67" s="192"/>
      <c r="H67" s="44">
        <v>2</v>
      </c>
      <c r="I67" s="44">
        <v>7500</v>
      </c>
      <c r="J67" s="189">
        <v>5.5609999999999999</v>
      </c>
      <c r="K67" s="83">
        <v>1000</v>
      </c>
      <c r="L67" s="85">
        <f t="shared" si="19"/>
        <v>41.707500000000003</v>
      </c>
      <c r="M67" s="45"/>
      <c r="N67" s="84">
        <f t="shared" si="12"/>
        <v>41.707500000000003</v>
      </c>
    </row>
    <row r="68" spans="1:14" ht="13.8" x14ac:dyDescent="0.3">
      <c r="A68" s="185" t="s">
        <v>130</v>
      </c>
      <c r="B68" s="42">
        <v>85</v>
      </c>
      <c r="C68" s="43">
        <v>662000</v>
      </c>
      <c r="D68" s="192">
        <f>H68-B68</f>
        <v>-28</v>
      </c>
      <c r="E68" s="192"/>
      <c r="F68" s="195">
        <f t="shared" si="21"/>
        <v>-259500</v>
      </c>
      <c r="G68" s="195"/>
      <c r="H68" s="44">
        <v>57</v>
      </c>
      <c r="I68" s="44">
        <v>402500</v>
      </c>
      <c r="J68" s="180">
        <v>0.216</v>
      </c>
      <c r="K68" s="83">
        <v>1000</v>
      </c>
      <c r="L68" s="85">
        <f t="shared" si="0"/>
        <v>86.94</v>
      </c>
      <c r="M68" s="45"/>
      <c r="N68" s="84">
        <f>SUM(L68+M68)</f>
        <v>86.94</v>
      </c>
    </row>
    <row r="69" spans="1:14" ht="14.4" thickBot="1" x14ac:dyDescent="0.35">
      <c r="A69" s="46" t="s">
        <v>26</v>
      </c>
      <c r="B69" s="270"/>
      <c r="C69" s="270"/>
      <c r="D69" s="227"/>
      <c r="E69" s="227"/>
      <c r="F69" s="227"/>
      <c r="G69" s="227"/>
      <c r="H69" s="227"/>
      <c r="I69" s="227"/>
      <c r="J69" s="190"/>
      <c r="K69" s="86"/>
      <c r="L69" s="87">
        <f>SUM(L17:L68)</f>
        <v>23765.022459384618</v>
      </c>
      <c r="M69" s="87">
        <f>SUM(M17:M68)</f>
        <v>0</v>
      </c>
      <c r="N69" s="88">
        <f>SUM(L69:M69)</f>
        <v>23765.022459384618</v>
      </c>
    </row>
    <row r="70" spans="1:14" ht="13.8" x14ac:dyDescent="0.3">
      <c r="A70" s="47"/>
      <c r="B70" s="48"/>
      <c r="C70" s="48"/>
      <c r="D70" s="49"/>
      <c r="E70" s="49"/>
      <c r="F70" s="49"/>
      <c r="G70" s="49"/>
      <c r="H70" s="49"/>
      <c r="I70" s="49"/>
      <c r="J70" s="50"/>
      <c r="K70" s="48"/>
      <c r="L70" s="51"/>
      <c r="M70" s="51"/>
      <c r="N70" s="52"/>
    </row>
    <row r="71" spans="1:14" ht="13.8" thickBot="1" x14ac:dyDescent="0.3">
      <c r="A71" s="247" t="s">
        <v>38</v>
      </c>
      <c r="B71" s="247"/>
      <c r="C71" s="247"/>
      <c r="D71" s="247"/>
      <c r="E71" s="247"/>
      <c r="F71" s="247"/>
      <c r="G71" s="247"/>
      <c r="H71" s="246" t="s">
        <v>39</v>
      </c>
      <c r="I71" s="246"/>
      <c r="J71" s="246"/>
      <c r="K71" s="246"/>
      <c r="L71" s="246"/>
      <c r="M71" s="246"/>
      <c r="N71" s="53"/>
    </row>
    <row r="72" spans="1:14" ht="13.8" thickBot="1" x14ac:dyDescent="0.3">
      <c r="A72" s="232" t="s">
        <v>55</v>
      </c>
      <c r="B72" s="232"/>
      <c r="C72" s="232"/>
      <c r="D72" s="232"/>
      <c r="E72" s="232"/>
      <c r="F72" s="232"/>
      <c r="G72" s="232"/>
      <c r="H72" s="232"/>
      <c r="I72" s="232"/>
      <c r="J72" s="232"/>
      <c r="K72" s="232"/>
      <c r="L72" s="232"/>
      <c r="M72" s="232"/>
      <c r="N72" s="232"/>
    </row>
    <row r="73" spans="1:14" ht="13.8" thickBot="1" x14ac:dyDescent="0.3">
      <c r="A73" s="226"/>
      <c r="B73" s="226"/>
      <c r="C73" s="226"/>
      <c r="D73" s="226"/>
      <c r="E73" s="226"/>
      <c r="F73" s="226"/>
      <c r="G73" s="226"/>
      <c r="H73" s="226"/>
      <c r="I73" s="226"/>
      <c r="J73" s="226"/>
      <c r="K73" s="226"/>
      <c r="L73" s="226"/>
      <c r="M73" s="226"/>
      <c r="N73" s="226"/>
    </row>
    <row r="74" spans="1:14" ht="13.8" thickBot="1" x14ac:dyDescent="0.3">
      <c r="A74" s="226"/>
      <c r="B74" s="226"/>
      <c r="C74" s="226"/>
      <c r="D74" s="226"/>
      <c r="E74" s="226"/>
      <c r="F74" s="226"/>
      <c r="G74" s="226"/>
      <c r="H74" s="226"/>
      <c r="I74" s="226"/>
      <c r="J74" s="226"/>
      <c r="K74" s="226"/>
      <c r="L74" s="226"/>
      <c r="M74" s="226"/>
      <c r="N74" s="226"/>
    </row>
    <row r="75" spans="1:14" x14ac:dyDescent="0.25">
      <c r="A75" s="54"/>
      <c r="B75" s="54"/>
      <c r="C75" s="54"/>
      <c r="D75" s="54"/>
      <c r="E75" s="54"/>
      <c r="F75" s="54"/>
      <c r="G75" s="54"/>
      <c r="H75" s="54"/>
      <c r="I75" s="54"/>
      <c r="J75" s="54"/>
      <c r="K75" s="54"/>
      <c r="L75" s="54"/>
      <c r="M75" s="54"/>
      <c r="N75" s="54"/>
    </row>
    <row r="76" spans="1:14" ht="14.4" thickBot="1" x14ac:dyDescent="0.35">
      <c r="A76" s="55"/>
      <c r="B76" s="48"/>
      <c r="C76" s="48"/>
      <c r="D76" s="48"/>
      <c r="E76" s="48"/>
      <c r="F76" s="48"/>
      <c r="G76" s="48"/>
      <c r="H76" s="48"/>
      <c r="I76" s="48"/>
      <c r="J76" s="56"/>
      <c r="K76" s="57"/>
      <c r="L76" s="58"/>
      <c r="M76" s="59"/>
      <c r="N76" s="59"/>
    </row>
    <row r="77" spans="1:14" ht="13.8" thickBot="1" x14ac:dyDescent="0.3">
      <c r="A77" s="199" t="s">
        <v>10</v>
      </c>
      <c r="B77" s="200"/>
      <c r="C77" s="200"/>
      <c r="D77" s="60"/>
      <c r="E77" s="209"/>
      <c r="F77" s="210"/>
      <c r="G77" s="210"/>
      <c r="H77" s="210"/>
      <c r="I77" s="210"/>
      <c r="J77" s="211"/>
      <c r="K77" s="61"/>
      <c r="L77" s="62"/>
      <c r="M77" s="62"/>
      <c r="N77" s="63"/>
    </row>
    <row r="78" spans="1:14" ht="14.4" x14ac:dyDescent="0.3">
      <c r="A78" s="212" t="s">
        <v>46</v>
      </c>
      <c r="B78" s="213"/>
      <c r="C78" s="213"/>
      <c r="D78" s="214"/>
      <c r="E78" s="215"/>
      <c r="F78" s="216"/>
      <c r="G78" s="216"/>
      <c r="H78" s="216"/>
      <c r="I78" s="216"/>
      <c r="J78" s="217"/>
      <c r="K78" s="203">
        <v>45566</v>
      </c>
      <c r="L78" s="204"/>
      <c r="M78" s="204"/>
      <c r="N78" s="205"/>
    </row>
    <row r="79" spans="1:14" ht="14.4" x14ac:dyDescent="0.3">
      <c r="A79" s="222" t="s">
        <v>3</v>
      </c>
      <c r="B79" s="223"/>
      <c r="C79" s="223"/>
      <c r="D79" s="224"/>
      <c r="E79" s="215"/>
      <c r="F79" s="216"/>
      <c r="G79" s="216"/>
      <c r="H79" s="216"/>
      <c r="I79" s="216"/>
      <c r="J79" s="217"/>
      <c r="K79" s="206"/>
      <c r="L79" s="207"/>
      <c r="M79" s="207"/>
      <c r="N79" s="208"/>
    </row>
    <row r="80" spans="1:14" ht="15" thickBot="1" x14ac:dyDescent="0.35">
      <c r="A80" s="201" t="s">
        <v>5</v>
      </c>
      <c r="B80" s="202"/>
      <c r="C80" s="202"/>
      <c r="D80" s="221"/>
      <c r="E80" s="218"/>
      <c r="F80" s="219"/>
      <c r="G80" s="219"/>
      <c r="H80" s="219"/>
      <c r="I80" s="219"/>
      <c r="J80" s="220"/>
      <c r="K80" s="201" t="s">
        <v>2</v>
      </c>
      <c r="L80" s="202"/>
      <c r="M80" s="202"/>
      <c r="N80" s="89">
        <f>N69</f>
        <v>23765.022459384618</v>
      </c>
    </row>
    <row r="81" spans="1:14" ht="13.8" x14ac:dyDescent="0.3">
      <c r="A81" s="64"/>
      <c r="B81" s="65"/>
      <c r="C81" s="65"/>
      <c r="D81" s="65"/>
      <c r="E81" s="66"/>
      <c r="F81" s="67"/>
      <c r="G81" s="68"/>
      <c r="H81" s="69"/>
      <c r="I81" s="70"/>
      <c r="J81" s="71"/>
      <c r="K81" s="72"/>
      <c r="L81" s="71"/>
      <c r="M81" s="59"/>
      <c r="N81" s="59"/>
    </row>
    <row r="82" spans="1:14" x14ac:dyDescent="0.25">
      <c r="A82" s="198" t="s">
        <v>15</v>
      </c>
      <c r="B82" s="198"/>
      <c r="C82" s="198"/>
      <c r="D82" s="198"/>
      <c r="E82" s="198"/>
      <c r="F82" s="198"/>
      <c r="G82" s="198"/>
      <c r="H82" s="198"/>
      <c r="I82" s="198"/>
      <c r="J82" s="198"/>
      <c r="K82" s="198"/>
      <c r="L82" s="198"/>
      <c r="M82" s="198"/>
      <c r="N82" s="198"/>
    </row>
    <row r="83" spans="1:14" ht="13.8" x14ac:dyDescent="0.3">
      <c r="A83" s="59"/>
      <c r="B83" s="59"/>
      <c r="C83" s="59"/>
      <c r="D83" s="59"/>
      <c r="E83" s="73"/>
      <c r="F83" s="59"/>
      <c r="G83" s="59"/>
      <c r="H83" s="59"/>
      <c r="I83" s="59"/>
      <c r="J83" s="59"/>
      <c r="K83" s="59"/>
      <c r="L83" s="59"/>
      <c r="M83" s="59"/>
      <c r="N83" s="59"/>
    </row>
    <row r="84" spans="1:14" x14ac:dyDescent="0.25">
      <c r="A84" s="225" t="s">
        <v>47</v>
      </c>
      <c r="B84" s="225"/>
      <c r="C84" s="225"/>
      <c r="D84" s="225"/>
      <c r="E84" s="225"/>
      <c r="F84" s="225"/>
      <c r="G84" s="225"/>
      <c r="H84" s="225"/>
      <c r="I84" s="225"/>
      <c r="J84" s="225"/>
      <c r="K84" s="225"/>
      <c r="L84" s="225"/>
      <c r="M84" s="225"/>
      <c r="N84" s="225"/>
    </row>
    <row r="65554" spans="3:5" ht="13.8" thickBot="1" x14ac:dyDescent="0.3"/>
    <row r="65555" spans="3:5" x14ac:dyDescent="0.25">
      <c r="C65555" s="1"/>
      <c r="D65555" s="196"/>
      <c r="E65555" s="197"/>
    </row>
  </sheetData>
  <sheetProtection algorithmName="SHA-512" hashValue="LqHIu30GfBmkwqY/8OiPqd3MFpcdnXYwaeYTzYNiUtKMml4e2c8Boah3Uq1WpVrokWGrdjc+3lt4diJo7v82Gw==" saltValue="S1A4LL4srY/N+8OZXqMTKA==" spinCount="100000" sheet="1" objects="1" scenarios="1"/>
  <mergeCells count="149">
    <mergeCell ref="A13:N13"/>
    <mergeCell ref="J15:K15"/>
    <mergeCell ref="B15:C15"/>
    <mergeCell ref="D15:G15"/>
    <mergeCell ref="D16:E16"/>
    <mergeCell ref="F19:G19"/>
    <mergeCell ref="D19:E19"/>
    <mergeCell ref="F16:G16"/>
    <mergeCell ref="F17:G17"/>
    <mergeCell ref="D17:E17"/>
    <mergeCell ref="D54:E54"/>
    <mergeCell ref="F54:G54"/>
    <mergeCell ref="D61:E61"/>
    <mergeCell ref="F61:G61"/>
    <mergeCell ref="D68:E68"/>
    <mergeCell ref="F68:G68"/>
    <mergeCell ref="F42:G42"/>
    <mergeCell ref="D42:E42"/>
    <mergeCell ref="H15:I15"/>
    <mergeCell ref="D31:E31"/>
    <mergeCell ref="F31:G31"/>
    <mergeCell ref="D20:E20"/>
    <mergeCell ref="D26:E26"/>
    <mergeCell ref="D27:E27"/>
    <mergeCell ref="D28:E28"/>
    <mergeCell ref="D29:E29"/>
    <mergeCell ref="F20:G20"/>
    <mergeCell ref="F21:G21"/>
    <mergeCell ref="F22:G22"/>
    <mergeCell ref="F23:G23"/>
    <mergeCell ref="F24:G24"/>
    <mergeCell ref="F25:G25"/>
    <mergeCell ref="F26:G26"/>
    <mergeCell ref="F27:G27"/>
    <mergeCell ref="A1:D1"/>
    <mergeCell ref="I1:J1"/>
    <mergeCell ref="A6:N6"/>
    <mergeCell ref="A8:D8"/>
    <mergeCell ref="M8:N8"/>
    <mergeCell ref="J8:L8"/>
    <mergeCell ref="F43:G43"/>
    <mergeCell ref="H71:M71"/>
    <mergeCell ref="A71:G71"/>
    <mergeCell ref="D18:E18"/>
    <mergeCell ref="J9:L9"/>
    <mergeCell ref="E11:G11"/>
    <mergeCell ref="A9:D9"/>
    <mergeCell ref="J11:N11"/>
    <mergeCell ref="E9:G9"/>
    <mergeCell ref="H9:I9"/>
    <mergeCell ref="M9:N9"/>
    <mergeCell ref="A10:D10"/>
    <mergeCell ref="A11:D11"/>
    <mergeCell ref="J10:N10"/>
    <mergeCell ref="H11:I11"/>
    <mergeCell ref="F18:G18"/>
    <mergeCell ref="H69:I69"/>
    <mergeCell ref="B69:C69"/>
    <mergeCell ref="A12:N12"/>
    <mergeCell ref="A14:N14"/>
    <mergeCell ref="F30:G30"/>
    <mergeCell ref="D65555:E65555"/>
    <mergeCell ref="A82:N82"/>
    <mergeCell ref="A77:C77"/>
    <mergeCell ref="K80:M80"/>
    <mergeCell ref="K78:N79"/>
    <mergeCell ref="E77:J77"/>
    <mergeCell ref="A78:D78"/>
    <mergeCell ref="E78:J80"/>
    <mergeCell ref="A80:D80"/>
    <mergeCell ref="A79:D79"/>
    <mergeCell ref="A84:N84"/>
    <mergeCell ref="D43:E43"/>
    <mergeCell ref="D30:E30"/>
    <mergeCell ref="A74:N74"/>
    <mergeCell ref="D69:G69"/>
    <mergeCell ref="F44:G44"/>
    <mergeCell ref="D44:E44"/>
    <mergeCell ref="A72:N72"/>
    <mergeCell ref="A73:N73"/>
    <mergeCell ref="D45:E45"/>
    <mergeCell ref="F45:G45"/>
    <mergeCell ref="F28:G28"/>
    <mergeCell ref="F29:G29"/>
    <mergeCell ref="D21:E21"/>
    <mergeCell ref="D22:E22"/>
    <mergeCell ref="D23:E23"/>
    <mergeCell ref="D24:E24"/>
    <mergeCell ref="D25:E25"/>
    <mergeCell ref="D37:E37"/>
    <mergeCell ref="D38:E38"/>
    <mergeCell ref="D39:E39"/>
    <mergeCell ref="D40:E40"/>
    <mergeCell ref="D41:E41"/>
    <mergeCell ref="D32:E32"/>
    <mergeCell ref="D33:E33"/>
    <mergeCell ref="D34:E34"/>
    <mergeCell ref="D35:E35"/>
    <mergeCell ref="D36:E36"/>
    <mergeCell ref="F37:G37"/>
    <mergeCell ref="F38:G38"/>
    <mergeCell ref="F39:G39"/>
    <mergeCell ref="F40:G40"/>
    <mergeCell ref="F41:G41"/>
    <mergeCell ref="F32:G32"/>
    <mergeCell ref="F33:G33"/>
    <mergeCell ref="F34:G34"/>
    <mergeCell ref="F35:G35"/>
    <mergeCell ref="F36:G36"/>
    <mergeCell ref="D51:E51"/>
    <mergeCell ref="D52:E52"/>
    <mergeCell ref="D53:E53"/>
    <mergeCell ref="F46:G46"/>
    <mergeCell ref="F47:G47"/>
    <mergeCell ref="F48:G48"/>
    <mergeCell ref="F49:G49"/>
    <mergeCell ref="F50:G50"/>
    <mergeCell ref="F51:G51"/>
    <mergeCell ref="F52:G52"/>
    <mergeCell ref="F53:G53"/>
    <mergeCell ref="D46:E46"/>
    <mergeCell ref="D47:E47"/>
    <mergeCell ref="D48:E48"/>
    <mergeCell ref="D49:E49"/>
    <mergeCell ref="D50:E50"/>
    <mergeCell ref="D58:E58"/>
    <mergeCell ref="F58:G58"/>
    <mergeCell ref="D59:E59"/>
    <mergeCell ref="F59:G59"/>
    <mergeCell ref="D60:E60"/>
    <mergeCell ref="F60:G60"/>
    <mergeCell ref="D55:E55"/>
    <mergeCell ref="F55:G55"/>
    <mergeCell ref="D56:E56"/>
    <mergeCell ref="F56:G56"/>
    <mergeCell ref="D57:E57"/>
    <mergeCell ref="F57:G57"/>
    <mergeCell ref="D65:E65"/>
    <mergeCell ref="F65:G65"/>
    <mergeCell ref="D66:E66"/>
    <mergeCell ref="F66:G66"/>
    <mergeCell ref="D67:E67"/>
    <mergeCell ref="F67:G67"/>
    <mergeCell ref="D62:E62"/>
    <mergeCell ref="F62:G62"/>
    <mergeCell ref="D63:E63"/>
    <mergeCell ref="F63:G63"/>
    <mergeCell ref="D64:E64"/>
    <mergeCell ref="F64:G64"/>
  </mergeCells>
  <phoneticPr fontId="2" type="noConversion"/>
  <hyperlinks>
    <hyperlink ref="M3" r:id="rId1" xr:uid="{00000000-0004-0000-0000-000000000000}"/>
    <hyperlink ref="H71:M71" r:id="rId2" display="Guide to Self-Administered Billing" xr:uid="{00000000-0004-0000-0000-000001000000}"/>
  </hyperlinks>
  <printOptions horizontalCentered="1" verticalCentered="1"/>
  <pageMargins left="0" right="0" top="0" bottom="0" header="0.32" footer="0.49"/>
  <pageSetup scale="67"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Unprotect_Report">
                <anchor moveWithCells="1" sizeWithCells="1">
                  <from>
                    <xdr:col>14</xdr:col>
                    <xdr:colOff>228600</xdr:colOff>
                    <xdr:row>3</xdr:row>
                    <xdr:rowOff>7620</xdr:rowOff>
                  </from>
                  <to>
                    <xdr:col>17</xdr:col>
                    <xdr:colOff>22860</xdr:colOff>
                    <xdr:row>6</xdr:row>
                    <xdr:rowOff>7620</xdr:rowOff>
                  </to>
                </anchor>
              </controlPr>
            </control>
          </mc:Choice>
        </mc:AlternateContent>
        <mc:AlternateContent xmlns:mc="http://schemas.openxmlformats.org/markup-compatibility/2006">
          <mc:Choice Requires="x14">
            <control shapeId="1027" r:id="rId7" name="Button 3">
              <controlPr defaultSize="0" print="0" autoFill="0" autoPict="0" macro="[0]!createPDF">
                <anchor moveWithCells="1" sizeWithCells="1">
                  <from>
                    <xdr:col>15</xdr:col>
                    <xdr:colOff>0</xdr:colOff>
                    <xdr:row>7</xdr:row>
                    <xdr:rowOff>22860</xdr:rowOff>
                  </from>
                  <to>
                    <xdr:col>17</xdr:col>
                    <xdr:colOff>30480</xdr:colOff>
                    <xdr:row>10</xdr:row>
                    <xdr:rowOff>106680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Q65507"/>
  <sheetViews>
    <sheetView topLeftCell="A3" zoomScale="119" zoomScaleNormal="119" zoomScaleSheetLayoutView="120" workbookViewId="0">
      <selection activeCell="J20" sqref="J20"/>
    </sheetView>
  </sheetViews>
  <sheetFormatPr defaultColWidth="9.109375" defaultRowHeight="13.2" x14ac:dyDescent="0.25"/>
  <cols>
    <col min="1" max="1" width="22.6640625" style="93" customWidth="1"/>
    <col min="2" max="2" width="9.44140625" style="93" customWidth="1"/>
    <col min="3" max="3" width="13.33203125" style="93" customWidth="1"/>
    <col min="4" max="4" width="5.88671875" style="93" bestFit="1" customWidth="1"/>
    <col min="5" max="5" width="5.44140625" style="93" customWidth="1"/>
    <col min="6" max="6" width="5.88671875" style="93" customWidth="1"/>
    <col min="7" max="7" width="10.109375" style="93" customWidth="1"/>
    <col min="8" max="8" width="9.88671875" style="93" customWidth="1"/>
    <col min="9" max="9" width="13.44140625" style="93" customWidth="1"/>
    <col min="10" max="10" width="8.33203125" style="93" customWidth="1"/>
    <col min="11" max="11" width="5.88671875" style="93" customWidth="1"/>
    <col min="12" max="12" width="14.44140625" style="93" customWidth="1"/>
    <col min="13" max="13" width="17" style="93" bestFit="1" customWidth="1"/>
    <col min="14" max="14" width="16.109375" style="93" customWidth="1"/>
    <col min="15" max="15" width="3.44140625" style="93" customWidth="1"/>
    <col min="16" max="17" width="9.6640625" style="93" customWidth="1"/>
    <col min="18" max="16384" width="9.109375" style="93"/>
  </cols>
  <sheetData>
    <row r="1" spans="1:17" ht="13.8" x14ac:dyDescent="0.3">
      <c r="A1" s="292"/>
      <c r="B1" s="292"/>
      <c r="C1" s="292"/>
      <c r="D1" s="292"/>
      <c r="E1" s="90"/>
      <c r="F1" s="90"/>
      <c r="G1" s="90"/>
      <c r="H1" s="90"/>
      <c r="I1" s="293"/>
      <c r="J1" s="293"/>
      <c r="K1" s="91"/>
      <c r="L1" s="91"/>
      <c r="M1" s="92"/>
      <c r="N1" s="92"/>
    </row>
    <row r="2" spans="1:17" ht="13.8" x14ac:dyDescent="0.3">
      <c r="A2" s="94"/>
      <c r="B2" s="95"/>
      <c r="C2" s="96"/>
      <c r="D2" s="97"/>
      <c r="E2" s="90"/>
      <c r="F2" s="90"/>
      <c r="G2" s="90"/>
      <c r="H2" s="90"/>
      <c r="I2" s="98"/>
      <c r="J2" s="98"/>
      <c r="K2" s="98"/>
      <c r="L2" s="99" t="s">
        <v>11</v>
      </c>
      <c r="M2" s="100" t="s">
        <v>44</v>
      </c>
      <c r="N2" s="92"/>
    </row>
    <row r="3" spans="1:17" ht="13.8" x14ac:dyDescent="0.3">
      <c r="A3" s="101"/>
      <c r="B3" s="95"/>
      <c r="C3" s="96"/>
      <c r="D3" s="96"/>
      <c r="E3" s="102"/>
      <c r="F3" s="102"/>
      <c r="G3" s="102"/>
      <c r="H3" s="102"/>
      <c r="I3" s="98"/>
      <c r="J3" s="98"/>
      <c r="K3" s="98"/>
      <c r="L3" s="99" t="s">
        <v>12</v>
      </c>
      <c r="M3" s="19" t="s">
        <v>45</v>
      </c>
      <c r="N3" s="92"/>
    </row>
    <row r="4" spans="1:17" ht="13.8" x14ac:dyDescent="0.3">
      <c r="A4" s="103"/>
      <c r="B4" s="104"/>
      <c r="C4" s="105"/>
      <c r="D4" s="104"/>
      <c r="E4" s="104"/>
      <c r="F4" s="104"/>
      <c r="G4" s="104"/>
      <c r="H4" s="104"/>
      <c r="I4" s="106"/>
      <c r="J4" s="106"/>
      <c r="K4" s="106"/>
      <c r="L4" s="106"/>
      <c r="M4" s="107"/>
      <c r="N4" s="108"/>
    </row>
    <row r="5" spans="1:17" ht="15.6" x14ac:dyDescent="0.3">
      <c r="A5" s="109"/>
      <c r="B5" s="109"/>
      <c r="C5" s="109"/>
      <c r="D5" s="109"/>
      <c r="E5" s="109"/>
      <c r="F5" s="109"/>
      <c r="G5" s="109"/>
      <c r="H5" s="104"/>
      <c r="I5" s="110"/>
      <c r="J5" s="111"/>
      <c r="K5" s="111"/>
      <c r="L5" s="111"/>
      <c r="M5" s="112"/>
      <c r="N5" s="108"/>
    </row>
    <row r="6" spans="1:17" s="113" customFormat="1" ht="16.8" x14ac:dyDescent="0.3">
      <c r="A6" s="294" t="s">
        <v>23</v>
      </c>
      <c r="B6" s="294"/>
      <c r="C6" s="294"/>
      <c r="D6" s="294"/>
      <c r="E6" s="294"/>
      <c r="F6" s="294"/>
      <c r="G6" s="294"/>
      <c r="H6" s="294"/>
      <c r="I6" s="294"/>
      <c r="J6" s="294"/>
      <c r="K6" s="294"/>
      <c r="L6" s="294"/>
      <c r="M6" s="294"/>
      <c r="N6" s="294"/>
    </row>
    <row r="7" spans="1:17" ht="14.4" thickBot="1" x14ac:dyDescent="0.35">
      <c r="A7" s="114"/>
      <c r="B7" s="110"/>
      <c r="C7" s="115"/>
      <c r="D7" s="110"/>
      <c r="E7" s="110"/>
      <c r="F7" s="110"/>
      <c r="G7" s="110"/>
      <c r="H7" s="110"/>
      <c r="I7" s="110"/>
      <c r="J7" s="116"/>
      <c r="K7" s="114"/>
      <c r="L7" s="114"/>
      <c r="M7" s="108"/>
      <c r="N7" s="108"/>
    </row>
    <row r="8" spans="1:17" x14ac:dyDescent="0.25">
      <c r="A8" s="295" t="s">
        <v>14</v>
      </c>
      <c r="B8" s="296"/>
      <c r="C8" s="296"/>
      <c r="D8" s="297"/>
      <c r="E8" s="117" t="s">
        <v>18</v>
      </c>
      <c r="F8" s="117"/>
      <c r="G8" s="118"/>
      <c r="H8" s="119" t="s">
        <v>17</v>
      </c>
      <c r="I8" s="120"/>
      <c r="J8" s="300" t="s">
        <v>21</v>
      </c>
      <c r="K8" s="296"/>
      <c r="L8" s="297"/>
      <c r="M8" s="298" t="s">
        <v>22</v>
      </c>
      <c r="N8" s="299"/>
    </row>
    <row r="9" spans="1:17" x14ac:dyDescent="0.25">
      <c r="A9" s="304" t="s">
        <v>49</v>
      </c>
      <c r="B9" s="305"/>
      <c r="C9" s="305"/>
      <c r="D9" s="305"/>
      <c r="E9" s="308" t="s">
        <v>54</v>
      </c>
      <c r="F9" s="308"/>
      <c r="G9" s="308"/>
      <c r="H9" s="309">
        <v>2</v>
      </c>
      <c r="I9" s="310"/>
      <c r="J9" s="301">
        <v>45566</v>
      </c>
      <c r="K9" s="302"/>
      <c r="L9" s="303"/>
      <c r="M9" s="311">
        <v>45596</v>
      </c>
      <c r="N9" s="312"/>
      <c r="O9" s="121"/>
    </row>
    <row r="10" spans="1:17" x14ac:dyDescent="0.25">
      <c r="A10" s="313" t="s">
        <v>27</v>
      </c>
      <c r="B10" s="314"/>
      <c r="C10" s="314"/>
      <c r="D10" s="315"/>
      <c r="E10" s="122" t="s">
        <v>19</v>
      </c>
      <c r="F10" s="123"/>
      <c r="G10" s="124"/>
      <c r="H10" s="125" t="s">
        <v>20</v>
      </c>
      <c r="I10" s="124"/>
      <c r="J10" s="318" t="s">
        <v>13</v>
      </c>
      <c r="K10" s="319"/>
      <c r="L10" s="319"/>
      <c r="M10" s="319"/>
      <c r="N10" s="320"/>
    </row>
    <row r="11" spans="1:17" ht="13.8" thickBot="1" x14ac:dyDescent="0.3">
      <c r="A11" s="316"/>
      <c r="B11" s="317"/>
      <c r="C11" s="317"/>
      <c r="D11" s="317"/>
      <c r="E11" s="286"/>
      <c r="F11" s="286"/>
      <c r="G11" s="286"/>
      <c r="H11" s="286"/>
      <c r="I11" s="286"/>
      <c r="J11" s="254"/>
      <c r="K11" s="306"/>
      <c r="L11" s="306"/>
      <c r="M11" s="306"/>
      <c r="N11" s="307"/>
    </row>
    <row r="12" spans="1:17" x14ac:dyDescent="0.25">
      <c r="A12" s="284"/>
      <c r="B12" s="284"/>
      <c r="C12" s="284"/>
      <c r="D12" s="284"/>
      <c r="E12" s="284"/>
      <c r="F12" s="284"/>
      <c r="G12" s="284"/>
      <c r="H12" s="284"/>
      <c r="I12" s="284"/>
      <c r="J12" s="284"/>
      <c r="K12" s="284"/>
      <c r="L12" s="284"/>
      <c r="M12" s="284"/>
      <c r="N12" s="284"/>
    </row>
    <row r="13" spans="1:17" s="126" customFormat="1" ht="12" x14ac:dyDescent="0.25">
      <c r="A13" s="289" t="s">
        <v>53</v>
      </c>
      <c r="B13" s="289"/>
      <c r="C13" s="289"/>
      <c r="D13" s="289"/>
      <c r="E13" s="289"/>
      <c r="F13" s="289"/>
      <c r="G13" s="289"/>
      <c r="H13" s="289"/>
      <c r="I13" s="289"/>
      <c r="J13" s="289"/>
      <c r="K13" s="289"/>
      <c r="L13" s="289"/>
      <c r="M13" s="289"/>
      <c r="N13" s="289"/>
      <c r="P13" s="127"/>
      <c r="Q13" s="127"/>
    </row>
    <row r="14" spans="1:17" s="126" customFormat="1" ht="12.6" thickBot="1" x14ac:dyDescent="0.3">
      <c r="A14" s="285"/>
      <c r="B14" s="285"/>
      <c r="C14" s="285"/>
      <c r="D14" s="285"/>
      <c r="E14" s="285"/>
      <c r="F14" s="285"/>
      <c r="G14" s="285"/>
      <c r="H14" s="285"/>
      <c r="I14" s="285"/>
      <c r="J14" s="285"/>
      <c r="K14" s="285"/>
      <c r="L14" s="285"/>
      <c r="M14" s="285"/>
      <c r="N14" s="285"/>
      <c r="P14" s="127"/>
      <c r="Q14" s="127"/>
    </row>
    <row r="15" spans="1:17" ht="22.2" thickBot="1" x14ac:dyDescent="0.35">
      <c r="A15" s="128" t="s">
        <v>0</v>
      </c>
      <c r="B15" s="291" t="s">
        <v>1</v>
      </c>
      <c r="C15" s="291"/>
      <c r="D15" s="291" t="s">
        <v>16</v>
      </c>
      <c r="E15" s="291"/>
      <c r="F15" s="291"/>
      <c r="G15" s="291"/>
      <c r="H15" s="288" t="s">
        <v>4</v>
      </c>
      <c r="I15" s="288"/>
      <c r="J15" s="290" t="s">
        <v>9</v>
      </c>
      <c r="K15" s="290"/>
      <c r="L15" s="129" t="s">
        <v>24</v>
      </c>
      <c r="M15" s="129" t="s">
        <v>25</v>
      </c>
      <c r="N15" s="130" t="s">
        <v>8</v>
      </c>
      <c r="P15" s="92"/>
      <c r="Q15" s="92"/>
    </row>
    <row r="16" spans="1:17" s="137" customFormat="1" ht="13.8" x14ac:dyDescent="0.3">
      <c r="A16" s="131"/>
      <c r="B16" s="132" t="s">
        <v>29</v>
      </c>
      <c r="C16" s="132" t="s">
        <v>30</v>
      </c>
      <c r="D16" s="287" t="s">
        <v>29</v>
      </c>
      <c r="E16" s="287"/>
      <c r="F16" s="287" t="s">
        <v>30</v>
      </c>
      <c r="G16" s="287"/>
      <c r="H16" s="132" t="s">
        <v>31</v>
      </c>
      <c r="I16" s="132" t="s">
        <v>30</v>
      </c>
      <c r="J16" s="133" t="s">
        <v>7</v>
      </c>
      <c r="K16" s="134" t="s">
        <v>6</v>
      </c>
      <c r="L16" s="135" t="s">
        <v>41</v>
      </c>
      <c r="M16" s="135" t="s">
        <v>40</v>
      </c>
      <c r="N16" s="136" t="s">
        <v>42</v>
      </c>
      <c r="P16" s="138"/>
      <c r="Q16" s="138"/>
    </row>
    <row r="17" spans="1:14" ht="13.8" x14ac:dyDescent="0.3">
      <c r="A17" s="169" t="s">
        <v>56</v>
      </c>
      <c r="B17" s="139">
        <v>280</v>
      </c>
      <c r="C17" s="140"/>
      <c r="D17" s="282">
        <f>280-270</f>
        <v>10</v>
      </c>
      <c r="E17" s="282"/>
      <c r="F17" s="195"/>
      <c r="G17" s="195"/>
      <c r="H17" s="141">
        <v>279</v>
      </c>
      <c r="I17" s="168"/>
      <c r="J17" s="170">
        <v>6.05</v>
      </c>
      <c r="K17" s="171" t="s">
        <v>51</v>
      </c>
      <c r="L17" s="173">
        <f>IF(J17="Varies",0,IF(K17="unit",H17*J17,IF(OR(K17=10,K17=100,K17=1000),J17*I17/K17,"ERROR")))</f>
        <v>1687.95</v>
      </c>
      <c r="M17" s="142"/>
      <c r="N17" s="172">
        <f>SUM(L17+M17)</f>
        <v>1687.95</v>
      </c>
    </row>
    <row r="18" spans="1:14" ht="13.8" x14ac:dyDescent="0.3">
      <c r="A18" s="169" t="s">
        <v>57</v>
      </c>
      <c r="B18" s="139">
        <v>29</v>
      </c>
      <c r="C18" s="140"/>
      <c r="D18" s="282">
        <f>34-29</f>
        <v>5</v>
      </c>
      <c r="E18" s="282"/>
      <c r="F18" s="195"/>
      <c r="G18" s="195"/>
      <c r="H18" s="141">
        <v>33</v>
      </c>
      <c r="I18" s="168"/>
      <c r="J18" s="170">
        <v>11.5</v>
      </c>
      <c r="K18" s="171" t="s">
        <v>51</v>
      </c>
      <c r="L18" s="173">
        <f>IF(J18="Varies",0,IF(K18="unit",H18*J18,IF(OR(K18=10,K18=100,K18=1000),J18*I18/K18,"ERROR")))</f>
        <v>379.5</v>
      </c>
      <c r="M18" s="142"/>
      <c r="N18" s="172">
        <f>SUM(L18+M18)</f>
        <v>379.5</v>
      </c>
    </row>
    <row r="19" spans="1:14" ht="13.8" x14ac:dyDescent="0.3">
      <c r="A19" s="169" t="s">
        <v>58</v>
      </c>
      <c r="B19" s="139">
        <v>30</v>
      </c>
      <c r="C19" s="140"/>
      <c r="D19" s="282">
        <f>30-29</f>
        <v>1</v>
      </c>
      <c r="E19" s="282"/>
      <c r="F19" s="195"/>
      <c r="G19" s="195"/>
      <c r="H19" s="141">
        <v>30</v>
      </c>
      <c r="I19" s="168"/>
      <c r="J19" s="170">
        <v>12.11</v>
      </c>
      <c r="K19" s="171" t="s">
        <v>51</v>
      </c>
      <c r="L19" s="173">
        <f>IF(J19="Varies",0,IF(K19="unit",H19*J19,IF(OR(K19=10,K19=100,K19=1000),J19*I19/K19,"ERROR")))</f>
        <v>363.29999999999995</v>
      </c>
      <c r="M19" s="142"/>
      <c r="N19" s="172">
        <f>SUM(L19+M19)</f>
        <v>363.29999999999995</v>
      </c>
    </row>
    <row r="20" spans="1:14" ht="13.8" x14ac:dyDescent="0.3">
      <c r="A20" s="169" t="s">
        <v>59</v>
      </c>
      <c r="B20" s="139">
        <v>43</v>
      </c>
      <c r="C20" s="140"/>
      <c r="D20" s="282">
        <f>43-38</f>
        <v>5</v>
      </c>
      <c r="E20" s="282"/>
      <c r="F20" s="195"/>
      <c r="G20" s="195"/>
      <c r="H20" s="141">
        <v>30</v>
      </c>
      <c r="I20" s="168"/>
      <c r="J20" s="170">
        <v>17.8</v>
      </c>
      <c r="K20" s="171" t="s">
        <v>51</v>
      </c>
      <c r="L20" s="173">
        <f>IF(J20="Varies",0,IF(K20="unit",H20*J20,IF(OR(K20=10,K20=100,K20=1000),J20*I20/K20,"ERROR")))</f>
        <v>534</v>
      </c>
      <c r="M20" s="142"/>
      <c r="N20" s="172">
        <f>SUM(L20+M20)</f>
        <v>534</v>
      </c>
    </row>
    <row r="21" spans="1:14" ht="14.4" thickBot="1" x14ac:dyDescent="0.35">
      <c r="A21" s="143" t="s">
        <v>26</v>
      </c>
      <c r="B21" s="280"/>
      <c r="C21" s="280"/>
      <c r="D21" s="279"/>
      <c r="E21" s="279"/>
      <c r="F21" s="279"/>
      <c r="G21" s="279"/>
      <c r="H21" s="279"/>
      <c r="I21" s="279"/>
      <c r="J21" s="174"/>
      <c r="K21" s="175"/>
      <c r="L21" s="176">
        <f>SUM(L17:L20)</f>
        <v>2964.75</v>
      </c>
      <c r="M21" s="176">
        <f>SUM(M17:M20)</f>
        <v>0</v>
      </c>
      <c r="N21" s="177">
        <f>SUM(L21:M21)</f>
        <v>2964.75</v>
      </c>
    </row>
    <row r="22" spans="1:14" ht="13.8" x14ac:dyDescent="0.3">
      <c r="A22" s="144"/>
      <c r="B22" s="145"/>
      <c r="C22" s="145"/>
      <c r="D22" s="146"/>
      <c r="E22" s="146"/>
      <c r="F22" s="146"/>
      <c r="G22" s="146"/>
      <c r="H22" s="146"/>
      <c r="I22" s="146"/>
      <c r="J22" s="147"/>
      <c r="K22" s="145"/>
      <c r="L22" s="148"/>
      <c r="M22" s="148"/>
      <c r="N22" s="149"/>
    </row>
    <row r="23" spans="1:14" ht="13.5" customHeight="1" thickBot="1" x14ac:dyDescent="0.3">
      <c r="A23" s="283" t="s">
        <v>38</v>
      </c>
      <c r="B23" s="283"/>
      <c r="C23" s="283"/>
      <c r="D23" s="283"/>
      <c r="E23" s="283"/>
      <c r="F23" s="283"/>
      <c r="G23" s="283"/>
      <c r="H23" s="246" t="s">
        <v>39</v>
      </c>
      <c r="I23" s="246"/>
      <c r="J23" s="246"/>
      <c r="K23" s="246"/>
      <c r="L23" s="246"/>
      <c r="M23" s="246"/>
      <c r="N23" s="150"/>
    </row>
    <row r="24" spans="1:14" ht="19.5" customHeight="1" thickBot="1" x14ac:dyDescent="0.3">
      <c r="A24" s="281" t="s">
        <v>28</v>
      </c>
      <c r="B24" s="281"/>
      <c r="C24" s="281"/>
      <c r="D24" s="281"/>
      <c r="E24" s="281"/>
      <c r="F24" s="281"/>
      <c r="G24" s="281"/>
      <c r="H24" s="281"/>
      <c r="I24" s="281"/>
      <c r="J24" s="281"/>
      <c r="K24" s="281"/>
      <c r="L24" s="281"/>
      <c r="M24" s="281"/>
      <c r="N24" s="281"/>
    </row>
    <row r="25" spans="1:14" ht="19.5" customHeight="1" thickBot="1" x14ac:dyDescent="0.3">
      <c r="A25" s="278"/>
      <c r="B25" s="278"/>
      <c r="C25" s="278"/>
      <c r="D25" s="278"/>
      <c r="E25" s="278"/>
      <c r="F25" s="278"/>
      <c r="G25" s="278"/>
      <c r="H25" s="278"/>
      <c r="I25" s="278"/>
      <c r="J25" s="278"/>
      <c r="K25" s="278"/>
      <c r="L25" s="278"/>
      <c r="M25" s="278"/>
      <c r="N25" s="278"/>
    </row>
    <row r="26" spans="1:14" ht="19.5" customHeight="1" thickBot="1" x14ac:dyDescent="0.3">
      <c r="A26" s="278"/>
      <c r="B26" s="278"/>
      <c r="C26" s="278"/>
      <c r="D26" s="278"/>
      <c r="E26" s="278"/>
      <c r="F26" s="278"/>
      <c r="G26" s="278"/>
      <c r="H26" s="278"/>
      <c r="I26" s="278"/>
      <c r="J26" s="278"/>
      <c r="K26" s="278"/>
      <c r="L26" s="278"/>
      <c r="M26" s="278"/>
      <c r="N26" s="278"/>
    </row>
    <row r="27" spans="1:14" x14ac:dyDescent="0.25">
      <c r="A27" s="151"/>
      <c r="B27" s="151"/>
      <c r="C27" s="151"/>
      <c r="D27" s="151"/>
      <c r="E27" s="151"/>
      <c r="F27" s="151"/>
      <c r="G27" s="151"/>
      <c r="H27" s="151"/>
      <c r="I27" s="151"/>
      <c r="J27" s="151"/>
      <c r="K27" s="151"/>
      <c r="L27" s="151"/>
      <c r="M27" s="151"/>
      <c r="N27" s="151"/>
    </row>
    <row r="28" spans="1:14" ht="14.4" thickBot="1" x14ac:dyDescent="0.35">
      <c r="A28" s="152"/>
      <c r="B28" s="145"/>
      <c r="C28" s="145"/>
      <c r="D28" s="145"/>
      <c r="E28" s="145"/>
      <c r="F28" s="145"/>
      <c r="G28" s="145"/>
      <c r="H28" s="145"/>
      <c r="I28" s="145"/>
      <c r="J28" s="153"/>
      <c r="K28" s="154"/>
      <c r="L28" s="155"/>
      <c r="M28" s="92"/>
      <c r="N28" s="92"/>
    </row>
    <row r="29" spans="1:14" ht="13.8" thickBot="1" x14ac:dyDescent="0.3">
      <c r="A29" s="325" t="s">
        <v>10</v>
      </c>
      <c r="B29" s="326"/>
      <c r="C29" s="326"/>
      <c r="D29" s="156"/>
      <c r="E29" s="335"/>
      <c r="F29" s="336"/>
      <c r="G29" s="336"/>
      <c r="H29" s="336"/>
      <c r="I29" s="336"/>
      <c r="J29" s="337"/>
      <c r="K29" s="157"/>
      <c r="L29" s="158"/>
      <c r="M29" s="158"/>
      <c r="N29" s="159"/>
    </row>
    <row r="30" spans="1:14" ht="14.4" x14ac:dyDescent="0.3">
      <c r="A30" s="338" t="s">
        <v>52</v>
      </c>
      <c r="B30" s="339"/>
      <c r="C30" s="339"/>
      <c r="D30" s="340"/>
      <c r="E30" s="341"/>
      <c r="F30" s="342"/>
      <c r="G30" s="342"/>
      <c r="H30" s="342"/>
      <c r="I30" s="342"/>
      <c r="J30" s="343"/>
      <c r="K30" s="329"/>
      <c r="L30" s="330"/>
      <c r="M30" s="330"/>
      <c r="N30" s="331"/>
    </row>
    <row r="31" spans="1:14" ht="14.4" x14ac:dyDescent="0.3">
      <c r="A31" s="348" t="s">
        <v>3</v>
      </c>
      <c r="B31" s="349"/>
      <c r="C31" s="349"/>
      <c r="D31" s="350"/>
      <c r="E31" s="341"/>
      <c r="F31" s="342"/>
      <c r="G31" s="342"/>
      <c r="H31" s="342"/>
      <c r="I31" s="342"/>
      <c r="J31" s="343"/>
      <c r="K31" s="332"/>
      <c r="L31" s="333"/>
      <c r="M31" s="333"/>
      <c r="N31" s="334"/>
    </row>
    <row r="32" spans="1:14" ht="15" thickBot="1" x14ac:dyDescent="0.35">
      <c r="A32" s="327" t="s">
        <v>5</v>
      </c>
      <c r="B32" s="328"/>
      <c r="C32" s="328"/>
      <c r="D32" s="347"/>
      <c r="E32" s="344"/>
      <c r="F32" s="345"/>
      <c r="G32" s="345"/>
      <c r="H32" s="345"/>
      <c r="I32" s="345"/>
      <c r="J32" s="346"/>
      <c r="K32" s="327" t="s">
        <v>2</v>
      </c>
      <c r="L32" s="328"/>
      <c r="M32" s="328"/>
      <c r="N32" s="178">
        <f>N21</f>
        <v>2964.75</v>
      </c>
    </row>
    <row r="33" spans="1:14" ht="13.8" x14ac:dyDescent="0.3">
      <c r="A33" s="160"/>
      <c r="B33" s="161"/>
      <c r="C33" s="161"/>
      <c r="D33" s="161"/>
      <c r="E33" s="162"/>
      <c r="F33" s="163"/>
      <c r="G33" s="68"/>
      <c r="H33" s="69"/>
      <c r="I33" s="164"/>
      <c r="J33" s="165"/>
      <c r="K33" s="98"/>
      <c r="L33" s="165"/>
      <c r="M33" s="92"/>
      <c r="N33" s="92"/>
    </row>
    <row r="34" spans="1:14" x14ac:dyDescent="0.25">
      <c r="A34" s="324" t="s">
        <v>15</v>
      </c>
      <c r="B34" s="324"/>
      <c r="C34" s="324"/>
      <c r="D34" s="324"/>
      <c r="E34" s="324"/>
      <c r="F34" s="324"/>
      <c r="G34" s="324"/>
      <c r="H34" s="324"/>
      <c r="I34" s="324"/>
      <c r="J34" s="324"/>
      <c r="K34" s="324"/>
      <c r="L34" s="324"/>
      <c r="M34" s="324"/>
      <c r="N34" s="324"/>
    </row>
    <row r="35" spans="1:14" ht="13.8" x14ac:dyDescent="0.3">
      <c r="A35" s="92"/>
      <c r="B35" s="92"/>
      <c r="C35" s="92"/>
      <c r="D35" s="92"/>
      <c r="E35" s="166"/>
      <c r="F35" s="92"/>
      <c r="G35" s="92"/>
      <c r="H35" s="92"/>
      <c r="I35" s="92"/>
      <c r="J35" s="92"/>
      <c r="K35" s="92"/>
      <c r="L35" s="92"/>
      <c r="M35" s="92"/>
      <c r="N35" s="92"/>
    </row>
    <row r="36" spans="1:14" ht="33.9" customHeight="1" x14ac:dyDescent="0.25">
      <c r="A36" s="321" t="s">
        <v>47</v>
      </c>
      <c r="B36" s="321"/>
      <c r="C36" s="321"/>
      <c r="D36" s="321"/>
      <c r="E36" s="321"/>
      <c r="F36" s="321"/>
      <c r="G36" s="321"/>
      <c r="H36" s="321"/>
      <c r="I36" s="321"/>
      <c r="J36" s="321"/>
      <c r="K36" s="321"/>
      <c r="L36" s="321"/>
      <c r="M36" s="321"/>
      <c r="N36" s="321"/>
    </row>
    <row r="65506" spans="3:5" ht="13.8" thickBot="1" x14ac:dyDescent="0.3"/>
    <row r="65507" spans="3:5" x14ac:dyDescent="0.25">
      <c r="C65507" s="167"/>
      <c r="D65507" s="322"/>
      <c r="E65507" s="323"/>
    </row>
  </sheetData>
  <sheetProtection algorithmName="SHA-512" hashValue="ZkJrK5iuV7LjcKwBvOiDWtfIyrk9AEp3mDA8lgXsxZ2dRz9aOUf+M+Ork/VIS50u5Gor1U9cGpzvQ6yIRmHX0g==" saltValue="oMqnxhVwM7Kq51pQu/GZ0w==" spinCount="100000" sheet="1" objects="1" scenarios="1"/>
  <mergeCells count="53">
    <mergeCell ref="A36:N36"/>
    <mergeCell ref="D65507:E65507"/>
    <mergeCell ref="A34:N34"/>
    <mergeCell ref="A29:C29"/>
    <mergeCell ref="K32:M32"/>
    <mergeCell ref="K30:N31"/>
    <mergeCell ref="E29:J29"/>
    <mergeCell ref="A30:D30"/>
    <mergeCell ref="E30:J32"/>
    <mergeCell ref="A32:D32"/>
    <mergeCell ref="A31:D31"/>
    <mergeCell ref="J9:L9"/>
    <mergeCell ref="E11:G11"/>
    <mergeCell ref="A9:D9"/>
    <mergeCell ref="J11:N11"/>
    <mergeCell ref="E9:G9"/>
    <mergeCell ref="H9:I9"/>
    <mergeCell ref="M9:N9"/>
    <mergeCell ref="A10:D10"/>
    <mergeCell ref="A11:D11"/>
    <mergeCell ref="J10:N10"/>
    <mergeCell ref="A1:D1"/>
    <mergeCell ref="I1:J1"/>
    <mergeCell ref="A6:N6"/>
    <mergeCell ref="A8:D8"/>
    <mergeCell ref="M8:N8"/>
    <mergeCell ref="J8:L8"/>
    <mergeCell ref="A12:N12"/>
    <mergeCell ref="A14:N14"/>
    <mergeCell ref="H11:I11"/>
    <mergeCell ref="D17:E17"/>
    <mergeCell ref="F17:G17"/>
    <mergeCell ref="D16:E16"/>
    <mergeCell ref="F16:G16"/>
    <mergeCell ref="H15:I15"/>
    <mergeCell ref="A13:N13"/>
    <mergeCell ref="J15:K15"/>
    <mergeCell ref="B15:C15"/>
    <mergeCell ref="D15:G15"/>
    <mergeCell ref="D18:E18"/>
    <mergeCell ref="F18:G18"/>
    <mergeCell ref="H23:M23"/>
    <mergeCell ref="D19:E19"/>
    <mergeCell ref="F19:G19"/>
    <mergeCell ref="D20:E20"/>
    <mergeCell ref="F20:G20"/>
    <mergeCell ref="A23:G23"/>
    <mergeCell ref="A26:N26"/>
    <mergeCell ref="H21:I21"/>
    <mergeCell ref="B21:C21"/>
    <mergeCell ref="D21:G21"/>
    <mergeCell ref="A24:N24"/>
    <mergeCell ref="A25:N25"/>
  </mergeCells>
  <hyperlinks>
    <hyperlink ref="M3" r:id="rId1" xr:uid="{00000000-0004-0000-0100-000000000000}"/>
    <hyperlink ref="H23:M23" r:id="rId2" display="Guide to Self-Administered Billing" xr:uid="{00000000-0004-0000-0100-000001000000}"/>
  </hyperlinks>
  <printOptions horizontalCentered="1" verticalCentered="1"/>
  <pageMargins left="0" right="0" top="0" bottom="0" header="0.32" footer="0.49"/>
  <pageSetup scale="87" orientation="landscape"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3073" r:id="rId6" name="Button 1">
              <controlPr defaultSize="0" print="0" autoFill="0" autoPict="0" macro="[0]!Unprotect_Report">
                <anchor moveWithCells="1" sizeWithCells="1">
                  <from>
                    <xdr:col>14</xdr:col>
                    <xdr:colOff>228600</xdr:colOff>
                    <xdr:row>3</xdr:row>
                    <xdr:rowOff>7620</xdr:rowOff>
                  </from>
                  <to>
                    <xdr:col>17</xdr:col>
                    <xdr:colOff>22860</xdr:colOff>
                    <xdr:row>6</xdr:row>
                    <xdr:rowOff>7620</xdr:rowOff>
                  </to>
                </anchor>
              </controlPr>
            </control>
          </mc:Choice>
        </mc:AlternateContent>
        <mc:AlternateContent xmlns:mc="http://schemas.openxmlformats.org/markup-compatibility/2006">
          <mc:Choice Requires="x14">
            <control shapeId="3074" r:id="rId7" name="Button 2">
              <controlPr defaultSize="0" print="0" autoFill="0" autoPict="0" macro="[0]!createPDF">
                <anchor moveWithCells="1" sizeWithCells="1">
                  <from>
                    <xdr:col>15</xdr:col>
                    <xdr:colOff>0</xdr:colOff>
                    <xdr:row>7</xdr:row>
                    <xdr:rowOff>22860</xdr:rowOff>
                  </from>
                  <to>
                    <xdr:col>17</xdr:col>
                    <xdr:colOff>30480</xdr:colOff>
                    <xdr:row>10</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P44"/>
  <sheetViews>
    <sheetView workbookViewId="0">
      <selection activeCell="C18" sqref="C18"/>
    </sheetView>
  </sheetViews>
  <sheetFormatPr defaultRowHeight="13.2" x14ac:dyDescent="0.25"/>
  <cols>
    <col min="5" max="5" width="16.5546875" customWidth="1"/>
  </cols>
  <sheetData>
    <row r="1" spans="3:16" ht="27.9" customHeight="1" x14ac:dyDescent="0.25">
      <c r="C1" s="351" t="s">
        <v>60</v>
      </c>
      <c r="D1" s="351"/>
      <c r="E1" s="351"/>
      <c r="F1" s="351"/>
      <c r="G1" s="351"/>
      <c r="H1" s="351"/>
      <c r="I1" s="351"/>
      <c r="J1" s="351"/>
      <c r="K1" s="351"/>
      <c r="L1" s="351"/>
      <c r="M1" s="351"/>
      <c r="N1" s="351"/>
      <c r="O1" s="351"/>
      <c r="P1" s="351"/>
    </row>
    <row r="3" spans="3:16" x14ac:dyDescent="0.25">
      <c r="C3" t="s">
        <v>61</v>
      </c>
      <c r="F3" t="s">
        <v>62</v>
      </c>
      <c r="K3" t="s">
        <v>123</v>
      </c>
    </row>
    <row r="4" spans="3:16" x14ac:dyDescent="0.25">
      <c r="C4" t="s">
        <v>32</v>
      </c>
      <c r="F4" t="s">
        <v>63</v>
      </c>
    </row>
    <row r="5" spans="3:16" x14ac:dyDescent="0.25">
      <c r="C5" t="s">
        <v>33</v>
      </c>
      <c r="F5" t="s">
        <v>64</v>
      </c>
    </row>
    <row r="6" spans="3:16" x14ac:dyDescent="0.25">
      <c r="C6" t="s">
        <v>65</v>
      </c>
    </row>
    <row r="7" spans="3:16" x14ac:dyDescent="0.25">
      <c r="C7" t="s">
        <v>66</v>
      </c>
      <c r="F7" t="s">
        <v>67</v>
      </c>
    </row>
    <row r="8" spans="3:16" x14ac:dyDescent="0.25">
      <c r="C8" t="s">
        <v>68</v>
      </c>
      <c r="F8" t="s">
        <v>69</v>
      </c>
    </row>
    <row r="9" spans="3:16" x14ac:dyDescent="0.25">
      <c r="C9" t="s">
        <v>70</v>
      </c>
      <c r="F9" t="s">
        <v>71</v>
      </c>
    </row>
    <row r="10" spans="3:16" x14ac:dyDescent="0.25">
      <c r="C10" t="s">
        <v>72</v>
      </c>
      <c r="F10" t="s">
        <v>73</v>
      </c>
    </row>
    <row r="11" spans="3:16" x14ac:dyDescent="0.25">
      <c r="C11" t="s">
        <v>74</v>
      </c>
      <c r="F11" t="s">
        <v>75</v>
      </c>
    </row>
    <row r="12" spans="3:16" x14ac:dyDescent="0.25">
      <c r="C12" t="s">
        <v>76</v>
      </c>
      <c r="F12" t="s">
        <v>77</v>
      </c>
    </row>
    <row r="13" spans="3:16" x14ac:dyDescent="0.25">
      <c r="C13" t="s">
        <v>78</v>
      </c>
      <c r="F13" t="s">
        <v>79</v>
      </c>
    </row>
    <row r="14" spans="3:16" x14ac:dyDescent="0.25">
      <c r="C14" t="s">
        <v>80</v>
      </c>
      <c r="F14" t="s">
        <v>81</v>
      </c>
    </row>
    <row r="15" spans="3:16" x14ac:dyDescent="0.25">
      <c r="C15" t="s">
        <v>82</v>
      </c>
      <c r="F15" t="s">
        <v>83</v>
      </c>
    </row>
    <row r="16" spans="3:16" x14ac:dyDescent="0.25">
      <c r="C16" t="s">
        <v>84</v>
      </c>
      <c r="F16" t="s">
        <v>85</v>
      </c>
    </row>
    <row r="17" spans="3:6" x14ac:dyDescent="0.25">
      <c r="C17" t="s">
        <v>86</v>
      </c>
      <c r="F17" t="s">
        <v>87</v>
      </c>
    </row>
    <row r="18" spans="3:6" x14ac:dyDescent="0.25">
      <c r="C18" t="s">
        <v>88</v>
      </c>
      <c r="F18" t="s">
        <v>89</v>
      </c>
    </row>
    <row r="19" spans="3:6" x14ac:dyDescent="0.25">
      <c r="C19" t="s">
        <v>34</v>
      </c>
      <c r="F19" t="s">
        <v>90</v>
      </c>
    </row>
    <row r="20" spans="3:6" x14ac:dyDescent="0.25">
      <c r="C20" t="s">
        <v>35</v>
      </c>
    </row>
    <row r="21" spans="3:6" x14ac:dyDescent="0.25">
      <c r="C21" t="s">
        <v>91</v>
      </c>
      <c r="F21" t="s">
        <v>92</v>
      </c>
    </row>
    <row r="22" spans="3:6" x14ac:dyDescent="0.25">
      <c r="C22" t="s">
        <v>93</v>
      </c>
      <c r="F22" t="s">
        <v>94</v>
      </c>
    </row>
    <row r="23" spans="3:6" x14ac:dyDescent="0.25">
      <c r="C23" t="s">
        <v>68</v>
      </c>
      <c r="F23" t="s">
        <v>95</v>
      </c>
    </row>
    <row r="24" spans="3:6" x14ac:dyDescent="0.25">
      <c r="C24" t="s">
        <v>70</v>
      </c>
      <c r="F24" t="s">
        <v>96</v>
      </c>
    </row>
    <row r="25" spans="3:6" x14ac:dyDescent="0.25">
      <c r="C25" t="s">
        <v>72</v>
      </c>
      <c r="F25" t="s">
        <v>97</v>
      </c>
    </row>
    <row r="26" spans="3:6" x14ac:dyDescent="0.25">
      <c r="C26" t="s">
        <v>74</v>
      </c>
      <c r="F26" t="s">
        <v>98</v>
      </c>
    </row>
    <row r="27" spans="3:6" x14ac:dyDescent="0.25">
      <c r="C27" t="s">
        <v>76</v>
      </c>
      <c r="F27" t="s">
        <v>99</v>
      </c>
    </row>
    <row r="28" spans="3:6" x14ac:dyDescent="0.25">
      <c r="C28" t="s">
        <v>78</v>
      </c>
      <c r="F28" t="s">
        <v>100</v>
      </c>
    </row>
    <row r="29" spans="3:6" x14ac:dyDescent="0.25">
      <c r="C29" t="s">
        <v>101</v>
      </c>
      <c r="F29" t="s">
        <v>102</v>
      </c>
    </row>
    <row r="30" spans="3:6" x14ac:dyDescent="0.25">
      <c r="C30" t="s">
        <v>103</v>
      </c>
    </row>
    <row r="31" spans="3:6" x14ac:dyDescent="0.25">
      <c r="C31" t="s">
        <v>66</v>
      </c>
      <c r="F31" t="s">
        <v>104</v>
      </c>
    </row>
    <row r="32" spans="3:6" x14ac:dyDescent="0.25">
      <c r="C32" t="s">
        <v>105</v>
      </c>
      <c r="F32" t="s">
        <v>106</v>
      </c>
    </row>
    <row r="33" spans="3:6" x14ac:dyDescent="0.25">
      <c r="C33" t="s">
        <v>107</v>
      </c>
      <c r="F33" t="s">
        <v>108</v>
      </c>
    </row>
    <row r="34" spans="3:6" x14ac:dyDescent="0.25">
      <c r="C34" t="s">
        <v>109</v>
      </c>
      <c r="F34" t="s">
        <v>110</v>
      </c>
    </row>
    <row r="35" spans="3:6" x14ac:dyDescent="0.25">
      <c r="C35" t="s">
        <v>80</v>
      </c>
      <c r="F35" t="s">
        <v>111</v>
      </c>
    </row>
    <row r="36" spans="3:6" x14ac:dyDescent="0.25">
      <c r="C36" t="s">
        <v>112</v>
      </c>
      <c r="F36" t="s">
        <v>113</v>
      </c>
    </row>
    <row r="37" spans="3:6" x14ac:dyDescent="0.25">
      <c r="C37" t="s">
        <v>114</v>
      </c>
    </row>
    <row r="38" spans="3:6" x14ac:dyDescent="0.25">
      <c r="C38" t="s">
        <v>66</v>
      </c>
      <c r="F38" t="s">
        <v>115</v>
      </c>
    </row>
    <row r="39" spans="3:6" x14ac:dyDescent="0.25">
      <c r="C39" t="s">
        <v>105</v>
      </c>
      <c r="F39" t="s">
        <v>116</v>
      </c>
    </row>
    <row r="40" spans="3:6" x14ac:dyDescent="0.25">
      <c r="C40" t="s">
        <v>107</v>
      </c>
      <c r="F40" t="s">
        <v>117</v>
      </c>
    </row>
    <row r="41" spans="3:6" x14ac:dyDescent="0.25">
      <c r="C41" t="s">
        <v>109</v>
      </c>
      <c r="F41" t="s">
        <v>118</v>
      </c>
    </row>
    <row r="42" spans="3:6" x14ac:dyDescent="0.25">
      <c r="C42" t="s">
        <v>80</v>
      </c>
      <c r="F42" t="s">
        <v>119</v>
      </c>
    </row>
    <row r="43" spans="3:6" x14ac:dyDescent="0.25">
      <c r="C43" t="s">
        <v>112</v>
      </c>
      <c r="F43" t="s">
        <v>120</v>
      </c>
    </row>
    <row r="44" spans="3:6" x14ac:dyDescent="0.25">
      <c r="C44" t="s">
        <v>121</v>
      </c>
      <c r="F44" t="s">
        <v>122</v>
      </c>
    </row>
  </sheetData>
  <mergeCells count="1">
    <mergeCell ref="C1:P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election activeCell="Q17" sqref="Q17"/>
    </sheetView>
  </sheetViews>
  <sheetFormatPr defaultRowHeight="13.2" x14ac:dyDescent="0.25"/>
  <sheetData/>
  <pageMargins left="0.7" right="0.7" top="0.75" bottom="0.75" header="0.3" footer="0.3"/>
  <drawing r:id="rId1"/>
</worksheet>
</file>

<file path=docMetadata/LabelInfo.xml><?xml version="1.0" encoding="utf-8"?>
<clbl:labelList xmlns:clbl="http://schemas.microsoft.com/office/2020/mipLabelMetadata">
  <clbl:label id="{02513295-34d7-4ce7-95f0-d6d90e122a36}" enabled="1" method="Standard" siteId="{2e0cb644-c094-41d7-ab3d-43201da24438}"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Acct 1</vt:lpstr>
      <vt:lpstr>Acct 2 Vision Only</vt:lpstr>
      <vt:lpstr>Rates</vt:lpstr>
      <vt:lpstr>How to calculate premium</vt:lpstr>
      <vt:lpstr>'Acct 1'!Print_Area</vt:lpstr>
      <vt:lpstr>'Acct 2 Vision Only'!Print_Area</vt:lpstr>
    </vt:vector>
  </TitlesOfParts>
  <Company>Health Care Service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U264988</dc:creator>
  <cp:lastModifiedBy>Liz Alderman</cp:lastModifiedBy>
  <cp:lastPrinted>2024-10-10T17:41:34Z</cp:lastPrinted>
  <dcterms:created xsi:type="dcterms:W3CDTF">2006-04-27T16:29:19Z</dcterms:created>
  <dcterms:modified xsi:type="dcterms:W3CDTF">2024-10-11T18:52:13Z</dcterms:modified>
</cp:coreProperties>
</file>